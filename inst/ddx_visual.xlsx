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rkmartongmailcom.sharepoint.com/sites/-/Shared Documents/General/Stats_R/R/Martyruns_github/inst/"/>
    </mc:Choice>
  </mc:AlternateContent>
  <xr:revisionPtr revIDLastSave="1" documentId="8_{C36C3399-8BFE-44BD-A0FD-459BE184C16D}" xr6:coauthVersionLast="47" xr6:coauthVersionMax="47" xr10:uidLastSave="{9F5AA285-4FBA-4D73-AA75-F8071B758226}"/>
  <bookViews>
    <workbookView xWindow="-15870" yWindow="-4995" windowWidth="15990" windowHeight="24840" activeTab="1" xr2:uid="{0D7A1C97-C3CE-4127-9EC0-C655BBFF60CC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4" i="2"/>
  <c r="G15" i="1"/>
  <c r="F16" i="1"/>
  <c r="B86" i="1"/>
  <c r="B87" i="1"/>
  <c r="B88" i="1"/>
  <c r="B89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F14" i="1"/>
  <c r="G14" i="1" s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H14" i="1" l="1"/>
  <c r="E14" i="1" l="1"/>
  <c r="F15" i="1" s="1"/>
  <c r="H15" i="1" l="1"/>
  <c r="E15" i="1" l="1"/>
  <c r="G16" i="1" l="1"/>
  <c r="H16" i="1" l="1"/>
  <c r="E16" i="1" l="1"/>
  <c r="F17" i="1" l="1"/>
  <c r="G17" i="1" s="1"/>
  <c r="H17" i="1" l="1"/>
  <c r="E17" i="1" l="1"/>
  <c r="F18" i="1" l="1"/>
  <c r="G18" i="1" s="1"/>
  <c r="H18" i="1" l="1"/>
  <c r="E18" i="1" l="1"/>
  <c r="F19" i="1" s="1"/>
  <c r="G19" i="1" s="1"/>
  <c r="H19" i="1" l="1"/>
  <c r="E19" i="1"/>
  <c r="F20" i="1" l="1"/>
  <c r="G20" i="1" s="1"/>
  <c r="H20" i="1" l="1"/>
  <c r="E20" i="1"/>
  <c r="F21" i="1" l="1"/>
  <c r="G21" i="1" s="1"/>
  <c r="H21" i="1" l="1"/>
  <c r="E21" i="1" l="1"/>
  <c r="F22" i="1" l="1"/>
  <c r="G22" i="1" s="1"/>
  <c r="E22" i="1" l="1"/>
  <c r="H22" i="1"/>
  <c r="F23" i="1" l="1"/>
  <c r="G23" i="1" s="1"/>
  <c r="H23" i="1" l="1"/>
  <c r="E23" i="1"/>
  <c r="F24" i="1" l="1"/>
  <c r="G24" i="1" s="1"/>
  <c r="H24" i="1" l="1"/>
  <c r="E24" i="1"/>
  <c r="F25" i="1" l="1"/>
  <c r="G25" i="1" s="1"/>
  <c r="H25" i="1" l="1"/>
  <c r="E25" i="1"/>
  <c r="F26" i="1" l="1"/>
  <c r="G26" i="1" s="1"/>
  <c r="H26" i="1" l="1"/>
  <c r="E26" i="1"/>
  <c r="F27" i="1" l="1"/>
  <c r="G27" i="1" s="1"/>
  <c r="H27" i="1" l="1"/>
  <c r="E27" i="1"/>
  <c r="F28" i="1" l="1"/>
  <c r="G28" i="1" s="1"/>
  <c r="H28" i="1" l="1"/>
  <c r="E28" i="1"/>
  <c r="F29" i="1" l="1"/>
  <c r="G29" i="1" s="1"/>
  <c r="H29" i="1" l="1"/>
  <c r="E29" i="1" l="1"/>
  <c r="F30" i="1" l="1"/>
  <c r="G30" i="1" s="1"/>
  <c r="E30" i="1" l="1"/>
  <c r="H30" i="1"/>
  <c r="F31" i="1" l="1"/>
  <c r="G31" i="1" l="1"/>
  <c r="H31" i="1" s="1"/>
  <c r="E31" i="1" l="1"/>
  <c r="F32" i="1" l="1"/>
  <c r="G32" i="1" s="1"/>
  <c r="H32" i="1" l="1"/>
  <c r="E32" i="1"/>
  <c r="F33" i="1" l="1"/>
  <c r="G33" i="1" s="1"/>
  <c r="H33" i="1" l="1"/>
  <c r="E33" i="1"/>
  <c r="F34" i="1" l="1"/>
  <c r="G34" i="1" s="1"/>
  <c r="H34" i="1" l="1"/>
  <c r="E34" i="1"/>
  <c r="F35" i="1" l="1"/>
  <c r="G35" i="1" s="1"/>
  <c r="H35" i="1" l="1"/>
  <c r="E35" i="1"/>
  <c r="F36" i="1" l="1"/>
  <c r="G36" i="1" s="1"/>
  <c r="H36" i="1" l="1"/>
  <c r="E36" i="1"/>
  <c r="F37" i="1" l="1"/>
  <c r="G37" i="1" s="1"/>
  <c r="H37" i="1" l="1"/>
  <c r="E37" i="1"/>
  <c r="F38" i="1" l="1"/>
  <c r="G38" i="1" s="1"/>
  <c r="E38" i="1" l="1"/>
  <c r="H38" i="1"/>
  <c r="F39" i="1" l="1"/>
  <c r="G39" i="1" s="1"/>
  <c r="E39" i="1" l="1"/>
  <c r="H39" i="1"/>
  <c r="F40" i="1" l="1"/>
  <c r="G40" i="1" s="1"/>
  <c r="E40" i="1" l="1"/>
  <c r="H40" i="1"/>
  <c r="F41" i="1" l="1"/>
  <c r="G41" i="1" l="1"/>
  <c r="H41" i="1" l="1"/>
  <c r="E41" i="1"/>
  <c r="F42" i="1" l="1"/>
  <c r="G42" i="1" s="1"/>
  <c r="E42" i="1" s="1"/>
  <c r="F43" i="1" l="1"/>
  <c r="G43" i="1"/>
  <c r="H42" i="1"/>
  <c r="H43" i="1" l="1"/>
  <c r="E43" i="1"/>
  <c r="F44" i="1" l="1"/>
  <c r="G44" i="1" s="1"/>
  <c r="E44" i="1" s="1"/>
  <c r="F45" i="1" l="1"/>
  <c r="G45" i="1" s="1"/>
  <c r="H44" i="1"/>
  <c r="H45" i="1" l="1"/>
  <c r="E45" i="1"/>
  <c r="F46" i="1" l="1"/>
  <c r="G46" i="1" s="1"/>
  <c r="E46" i="1" s="1"/>
  <c r="F47" i="1" l="1"/>
  <c r="G47" i="1" s="1"/>
  <c r="H46" i="1"/>
  <c r="H47" i="1" l="1"/>
  <c r="E47" i="1"/>
  <c r="F48" i="1" l="1"/>
  <c r="G48" i="1" s="1"/>
  <c r="H48" i="1" l="1"/>
  <c r="E48" i="1"/>
  <c r="F49" i="1" l="1"/>
  <c r="G49" i="1" s="1"/>
  <c r="H49" i="1" l="1"/>
  <c r="E49" i="1"/>
  <c r="F50" i="1" l="1"/>
  <c r="G50" i="1" s="1"/>
  <c r="H50" i="1" l="1"/>
  <c r="E50" i="1"/>
  <c r="F51" i="1" l="1"/>
  <c r="G51" i="1" s="1"/>
  <c r="H51" i="1" l="1"/>
  <c r="E51" i="1"/>
  <c r="F52" i="1" l="1"/>
  <c r="G52" i="1" s="1"/>
  <c r="H52" i="1" l="1"/>
  <c r="E52" i="1"/>
  <c r="F53" i="1" l="1"/>
  <c r="G53" i="1" s="1"/>
  <c r="H53" i="1" l="1"/>
  <c r="E53" i="1"/>
  <c r="F54" i="1" l="1"/>
  <c r="G54" i="1" s="1"/>
  <c r="H54" i="1" l="1"/>
  <c r="E54" i="1"/>
  <c r="F55" i="1" l="1"/>
  <c r="G55" i="1" s="1"/>
  <c r="E55" i="1" l="1"/>
  <c r="H55" i="1"/>
  <c r="F56" i="1" l="1"/>
  <c r="G56" i="1" s="1"/>
  <c r="H56" i="1" l="1"/>
  <c r="E56" i="1"/>
  <c r="F57" i="1" l="1"/>
  <c r="G57" i="1" s="1"/>
  <c r="H57" i="1" l="1"/>
  <c r="E57" i="1"/>
  <c r="F58" i="1" l="1"/>
  <c r="G58" i="1" s="1"/>
  <c r="E58" i="1" s="1"/>
  <c r="F59" i="1" l="1"/>
  <c r="G59" i="1" s="1"/>
  <c r="H58" i="1"/>
  <c r="H59" i="1" l="1"/>
  <c r="E59" i="1"/>
  <c r="F60" i="1"/>
  <c r="G60" i="1" s="1"/>
  <c r="H60" i="1" l="1"/>
  <c r="E60" i="1"/>
  <c r="F61" i="1" l="1"/>
  <c r="G61" i="1" s="1"/>
  <c r="H61" i="1" l="1"/>
  <c r="E61" i="1"/>
  <c r="F62" i="1" l="1"/>
  <c r="G62" i="1" s="1"/>
  <c r="H62" i="1" l="1"/>
  <c r="E62" i="1"/>
  <c r="F63" i="1" l="1"/>
  <c r="G63" i="1" s="1"/>
  <c r="H63" i="1" l="1"/>
  <c r="E63" i="1"/>
  <c r="F64" i="1" l="1"/>
  <c r="G64" i="1" s="1"/>
  <c r="H64" i="1" l="1"/>
  <c r="E64" i="1"/>
  <c r="F65" i="1" l="1"/>
  <c r="G65" i="1" s="1"/>
  <c r="H65" i="1" l="1"/>
  <c r="E65" i="1"/>
  <c r="F66" i="1" l="1"/>
  <c r="G66" i="1" s="1"/>
  <c r="H66" i="1" l="1"/>
  <c r="E66" i="1"/>
  <c r="F67" i="1" l="1"/>
  <c r="G67" i="1" s="1"/>
  <c r="H67" i="1" l="1"/>
  <c r="E67" i="1"/>
  <c r="F68" i="1" l="1"/>
  <c r="G68" i="1" s="1"/>
  <c r="H68" i="1" l="1"/>
  <c r="E68" i="1"/>
  <c r="F69" i="1" l="1"/>
  <c r="G69" i="1" s="1"/>
  <c r="H69" i="1" l="1"/>
  <c r="E69" i="1"/>
  <c r="F70" i="1" l="1"/>
  <c r="G70" i="1" s="1"/>
  <c r="H70" i="1" l="1"/>
  <c r="E70" i="1"/>
  <c r="F71" i="1" l="1"/>
  <c r="G71" i="1" s="1"/>
  <c r="H71" i="1" l="1"/>
  <c r="E71" i="1"/>
  <c r="F72" i="1" l="1"/>
  <c r="G72" i="1" s="1"/>
  <c r="H72" i="1" l="1"/>
  <c r="E72" i="1"/>
  <c r="F73" i="1" l="1"/>
  <c r="G73" i="1" s="1"/>
  <c r="H73" i="1" l="1"/>
  <c r="E73" i="1"/>
  <c r="F74" i="1" l="1"/>
  <c r="G74" i="1" s="1"/>
  <c r="H74" i="1" l="1"/>
  <c r="E74" i="1"/>
  <c r="F75" i="1" l="1"/>
  <c r="G75" i="1" s="1"/>
  <c r="H75" i="1" l="1"/>
  <c r="E75" i="1"/>
  <c r="F76" i="1" l="1"/>
  <c r="G76" i="1" s="1"/>
  <c r="H76" i="1" l="1"/>
  <c r="E76" i="1"/>
  <c r="F77" i="1" l="1"/>
  <c r="G77" i="1" s="1"/>
  <c r="H77" i="1" l="1"/>
  <c r="E77" i="1"/>
  <c r="F78" i="1" l="1"/>
  <c r="G78" i="1" s="1"/>
  <c r="H78" i="1" l="1"/>
  <c r="E78" i="1"/>
  <c r="F79" i="1" l="1"/>
  <c r="G79" i="1" s="1"/>
  <c r="H79" i="1" l="1"/>
  <c r="E79" i="1"/>
  <c r="F80" i="1" l="1"/>
  <c r="G80" i="1" s="1"/>
  <c r="H80" i="1" l="1"/>
  <c r="E80" i="1"/>
  <c r="F81" i="1" l="1"/>
  <c r="G81" i="1" s="1"/>
  <c r="H81" i="1" l="1"/>
  <c r="E81" i="1"/>
  <c r="F82" i="1" l="1"/>
  <c r="G82" i="1" s="1"/>
  <c r="H82" i="1" l="1"/>
  <c r="E82" i="1"/>
  <c r="F83" i="1" l="1"/>
  <c r="G83" i="1" s="1"/>
  <c r="H83" i="1" l="1"/>
  <c r="E83" i="1"/>
  <c r="F84" i="1" l="1"/>
  <c r="G84" i="1" s="1"/>
  <c r="H84" i="1" l="1"/>
  <c r="E84" i="1"/>
  <c r="F85" i="1" l="1"/>
  <c r="G85" i="1" s="1"/>
  <c r="H85" i="1" l="1"/>
  <c r="E85" i="1"/>
  <c r="F86" i="1" l="1"/>
  <c r="G86" i="1" s="1"/>
  <c r="H86" i="1" l="1"/>
  <c r="E86" i="1"/>
  <c r="F87" i="1" l="1"/>
  <c r="G87" i="1" s="1"/>
  <c r="H87" i="1" l="1"/>
  <c r="E87" i="1"/>
  <c r="F88" i="1" l="1"/>
  <c r="G88" i="1" s="1"/>
  <c r="H88" i="1" l="1"/>
  <c r="E88" i="1" l="1"/>
  <c r="F89" i="1" s="1"/>
  <c r="G89" i="1" s="1"/>
  <c r="H89" i="1" l="1"/>
  <c r="E89" i="1" l="1"/>
</calcChain>
</file>

<file path=xl/sharedStrings.xml><?xml version="1.0" encoding="utf-8"?>
<sst xmlns="http://schemas.openxmlformats.org/spreadsheetml/2006/main" count="22" uniqueCount="19">
  <si>
    <t>p_b</t>
  </si>
  <si>
    <t>p_c</t>
  </si>
  <si>
    <t>p_d</t>
  </si>
  <si>
    <t>p_e</t>
  </si>
  <si>
    <t>#!</t>
  </si>
  <si>
    <t>p_f</t>
  </si>
  <si>
    <t>t</t>
  </si>
  <si>
    <t>speed*10</t>
  </si>
  <si>
    <t>speed</t>
  </si>
  <si>
    <t>hr_eq</t>
  </si>
  <si>
    <t>hr</t>
  </si>
  <si>
    <t>p_scale</t>
  </si>
  <si>
    <t>response</t>
  </si>
  <si>
    <t>dx_hr</t>
  </si>
  <si>
    <t>p_max_dx</t>
  </si>
  <si>
    <t>p_damping</t>
  </si>
  <si>
    <t>hülyeség</t>
  </si>
  <si>
    <t>p_ar</t>
  </si>
  <si>
    <t>p_ma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</si>
</sst>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Sheet1!$A$13:$A$17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Sheet1!$A$13:$A$63</c:f>
              <c:numCache>
                <c:formatCode>General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numCache>
            </c:numRef>
          </c:xVal>
          <c:yVal>
            <c:numRef>
              <c:f>Sheet1!$D$13:$D$63</c:f>
              <c:numCache>
                <c:formatCode>General</c:formatCode>
                <c:ptCount val="51"/>
                <c:pt idx="0">
                  <c:v>120</c:v>
                </c:pt>
                <c:pt idx="1">
                  <c:v>120</c:v>
                </c:pt>
                <c:pt idx="2">
                  <c:v>200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170</c:v>
                </c:pt>
                <c:pt idx="8">
                  <c:v>170</c:v>
                </c:pt>
                <c:pt idx="9">
                  <c:v>170</c:v>
                </c:pt>
                <c:pt idx="10">
                  <c:v>170</c:v>
                </c:pt>
                <c:pt idx="11">
                  <c:v>170</c:v>
                </c:pt>
                <c:pt idx="12">
                  <c:v>170</c:v>
                </c:pt>
                <c:pt idx="13">
                  <c:v>170</c:v>
                </c:pt>
                <c:pt idx="14">
                  <c:v>170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135</c:v>
                </c:pt>
                <c:pt idx="22">
                  <c:v>135</c:v>
                </c:pt>
                <c:pt idx="23">
                  <c:v>135</c:v>
                </c:pt>
                <c:pt idx="24">
                  <c:v>135</c:v>
                </c:pt>
                <c:pt idx="25">
                  <c:v>135</c:v>
                </c:pt>
                <c:pt idx="26">
                  <c:v>135</c:v>
                </c:pt>
                <c:pt idx="27">
                  <c:v>135</c:v>
                </c:pt>
                <c:pt idx="28">
                  <c:v>135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135</c:v>
                </c:pt>
                <c:pt idx="34">
                  <c:v>135</c:v>
                </c:pt>
                <c:pt idx="35">
                  <c:v>170</c:v>
                </c:pt>
                <c:pt idx="36">
                  <c:v>135</c:v>
                </c:pt>
                <c:pt idx="37">
                  <c:v>135</c:v>
                </c:pt>
                <c:pt idx="38">
                  <c:v>135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7-4F0B-A326-31D99E4D1057}"/>
            </c:ext>
          </c:extLst>
        </c:ser>
        <c:ser>
          <c:idx val="2"/>
          <c:order val="1"/>
          <c:tx>
            <c:strRef>
              <c:f>Sheet1!$A$13:$A$89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Sheet1!$E$13:$E$89</c:f>
              <c:numCache>
                <c:formatCode>0.0</c:formatCode>
                <c:ptCount val="77"/>
                <c:pt idx="0" formatCode="General">
                  <c:v>120</c:v>
                </c:pt>
                <c:pt idx="1">
                  <c:v>120</c:v>
                </c:pt>
                <c:pt idx="2">
                  <c:v>133.35939513215055</c:v>
                </c:pt>
                <c:pt idx="3">
                  <c:v>133.2750791873973</c:v>
                </c:pt>
                <c:pt idx="4">
                  <c:v>125.14243993810052</c:v>
                </c:pt>
                <c:pt idx="5">
                  <c:v>114.7444699585876</c:v>
                </c:pt>
                <c:pt idx="6">
                  <c:v>114.07953676943055</c:v>
                </c:pt>
                <c:pt idx="7">
                  <c:v>125.96745583657452</c:v>
                </c:pt>
                <c:pt idx="8">
                  <c:v>144.67489266208534</c:v>
                </c:pt>
                <c:pt idx="9">
                  <c:v>165.841945811957</c:v>
                </c:pt>
                <c:pt idx="10">
                  <c:v>183.52957900408768</c:v>
                </c:pt>
                <c:pt idx="11">
                  <c:v>186.00638770406681</c:v>
                </c:pt>
                <c:pt idx="12">
                  <c:v>178.87818839411278</c:v>
                </c:pt>
                <c:pt idx="13">
                  <c:v>167.63852767558805</c:v>
                </c:pt>
                <c:pt idx="14">
                  <c:v>164.58043802435583</c:v>
                </c:pt>
                <c:pt idx="15">
                  <c:v>173.674927260706</c:v>
                </c:pt>
                <c:pt idx="16">
                  <c:v>189.18755008951692</c:v>
                </c:pt>
                <c:pt idx="17">
                  <c:v>206.00150364637466</c:v>
                </c:pt>
                <c:pt idx="18">
                  <c:v>210.17353654519331</c:v>
                </c:pt>
                <c:pt idx="19">
                  <c:v>205.33942170805537</c:v>
                </c:pt>
                <c:pt idx="20">
                  <c:v>196.82460530709679</c:v>
                </c:pt>
                <c:pt idx="21">
                  <c:v>179.12880708466525</c:v>
                </c:pt>
                <c:pt idx="22">
                  <c:v>156.9301511751685</c:v>
                </c:pt>
                <c:pt idx="23">
                  <c:v>134.08810920361009</c:v>
                </c:pt>
                <c:pt idx="24">
                  <c:v>122.35312559862074</c:v>
                </c:pt>
                <c:pt idx="25">
                  <c:v>123.25736779748475</c:v>
                </c:pt>
                <c:pt idx="26">
                  <c:v>131.53672715288147</c:v>
                </c:pt>
                <c:pt idx="27">
                  <c:v>141.05191682357344</c:v>
                </c:pt>
                <c:pt idx="28">
                  <c:v>140.82288035750813</c:v>
                </c:pt>
                <c:pt idx="29">
                  <c:v>131.31307397611448</c:v>
                </c:pt>
                <c:pt idx="30">
                  <c:v>117.97462472643858</c:v>
                </c:pt>
                <c:pt idx="31">
                  <c:v>113.33700994819662</c:v>
                </c:pt>
                <c:pt idx="32">
                  <c:v>116.7452289135023</c:v>
                </c:pt>
                <c:pt idx="33">
                  <c:v>127.78192881134383</c:v>
                </c:pt>
                <c:pt idx="34">
                  <c:v>140.80733804303281</c:v>
                </c:pt>
                <c:pt idx="35">
                  <c:v>158.98189341414204</c:v>
                </c:pt>
                <c:pt idx="36">
                  <c:v>160.10324917912283</c:v>
                </c:pt>
                <c:pt idx="37">
                  <c:v>150.85920065420839</c:v>
                </c:pt>
                <c:pt idx="38">
                  <c:v>136.72491268234381</c:v>
                </c:pt>
                <c:pt idx="39">
                  <c:v>119.50425116835711</c:v>
                </c:pt>
                <c:pt idx="40">
                  <c:v>110.39586496591636</c:v>
                </c:pt>
                <c:pt idx="41">
                  <c:v>112.10915999056206</c:v>
                </c:pt>
                <c:pt idx="42">
                  <c:v>119.77973657169164</c:v>
                </c:pt>
                <c:pt idx="43">
                  <c:v>124.98725768900812</c:v>
                </c:pt>
                <c:pt idx="44">
                  <c:v>122.67117470662218</c:v>
                </c:pt>
                <c:pt idx="45">
                  <c:v>117.32788954949385</c:v>
                </c:pt>
                <c:pt idx="46">
                  <c:v>118.07632860389829</c:v>
                </c:pt>
                <c:pt idx="47">
                  <c:v>121.78689194827777</c:v>
                </c:pt>
                <c:pt idx="48">
                  <c:v>120.89738903908452</c:v>
                </c:pt>
                <c:pt idx="49">
                  <c:v>118.41659258175748</c:v>
                </c:pt>
                <c:pt idx="50">
                  <c:v>119.81346502358703</c:v>
                </c:pt>
                <c:pt idx="51">
                  <c:v>121.17155230212913</c:v>
                </c:pt>
                <c:pt idx="52">
                  <c:v>119.62901261219801</c:v>
                </c:pt>
                <c:pt idx="53">
                  <c:v>119.66272301529447</c:v>
                </c:pt>
                <c:pt idx="54">
                  <c:v>120.56649884866913</c:v>
                </c:pt>
                <c:pt idx="55">
                  <c:v>119.7442537885253</c:v>
                </c:pt>
                <c:pt idx="56">
                  <c:v>119.9432198885565</c:v>
                </c:pt>
                <c:pt idx="57">
                  <c:v>120.23049196753387</c:v>
                </c:pt>
                <c:pt idx="58">
                  <c:v>119.77230373364628</c:v>
                </c:pt>
                <c:pt idx="59">
                  <c:v>120.12102733885062</c:v>
                </c:pt>
                <c:pt idx="60">
                  <c:v>119.98294807395978</c:v>
                </c:pt>
                <c:pt idx="61">
                  <c:v>119.9515024011377</c:v>
                </c:pt>
                <c:pt idx="62">
                  <c:v>120.07660707909469</c:v>
                </c:pt>
                <c:pt idx="63">
                  <c:v>119.92726926790358</c:v>
                </c:pt>
                <c:pt idx="64">
                  <c:v>120.05110163990669</c:v>
                </c:pt>
                <c:pt idx="65">
                  <c:v>119.97388806745288</c:v>
                </c:pt>
                <c:pt idx="66">
                  <c:v>120.00592309000822</c:v>
                </c:pt>
                <c:pt idx="67">
                  <c:v>120.00719066398244</c:v>
                </c:pt>
                <c:pt idx="68">
                  <c:v>119.98616936797522</c:v>
                </c:pt>
                <c:pt idx="69">
                  <c:v>120.01531445282254</c:v>
                </c:pt>
                <c:pt idx="70">
                  <c:v>119.98659752539537</c:v>
                </c:pt>
                <c:pt idx="71">
                  <c:v>120.00984109208795</c:v>
                </c:pt>
                <c:pt idx="72">
                  <c:v>119.994015959994</c:v>
                </c:pt>
                <c:pt idx="73">
                  <c:v>120.00265851541302</c:v>
                </c:pt>
                <c:pt idx="74">
                  <c:v>119.99977272277157</c:v>
                </c:pt>
                <c:pt idx="75">
                  <c:v>119.9987321054047</c:v>
                </c:pt>
                <c:pt idx="76">
                  <c:v>120.00195977089714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D7-4F0B-A326-31D99E4D1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519344"/>
        <c:axId val="684519704"/>
      </c:scatterChart>
      <c:valAx>
        <c:axId val="68451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19704"/>
        <c:crosses val="autoZero"/>
        <c:crossBetween val="midCat"/>
      </c:valAx>
      <c:valAx>
        <c:axId val="68451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1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Sheet1!$D$12</c:f>
              <c:strCache>
                <c:ptCount val="1"/>
                <c:pt idx="0">
                  <c:v>hr_eq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Sheet1!$A$13:$A$67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Sheet1!$D$13:$D$67</c:f>
              <c:numCache>
                <c:formatCode>General</c:formatCode>
                <c:ptCount val="55"/>
                <c:pt idx="0">
                  <c:v>120</c:v>
                </c:pt>
                <c:pt idx="1">
                  <c:v>120</c:v>
                </c:pt>
                <c:pt idx="2">
                  <c:v>200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170</c:v>
                </c:pt>
                <c:pt idx="8">
                  <c:v>170</c:v>
                </c:pt>
                <c:pt idx="9">
                  <c:v>170</c:v>
                </c:pt>
                <c:pt idx="10">
                  <c:v>170</c:v>
                </c:pt>
                <c:pt idx="11">
                  <c:v>170</c:v>
                </c:pt>
                <c:pt idx="12">
                  <c:v>170</c:v>
                </c:pt>
                <c:pt idx="13">
                  <c:v>170</c:v>
                </c:pt>
                <c:pt idx="14">
                  <c:v>170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135</c:v>
                </c:pt>
                <c:pt idx="22">
                  <c:v>135</c:v>
                </c:pt>
                <c:pt idx="23">
                  <c:v>135</c:v>
                </c:pt>
                <c:pt idx="24">
                  <c:v>135</c:v>
                </c:pt>
                <c:pt idx="25">
                  <c:v>135</c:v>
                </c:pt>
                <c:pt idx="26">
                  <c:v>135</c:v>
                </c:pt>
                <c:pt idx="27">
                  <c:v>135</c:v>
                </c:pt>
                <c:pt idx="28">
                  <c:v>135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135</c:v>
                </c:pt>
                <c:pt idx="34">
                  <c:v>135</c:v>
                </c:pt>
                <c:pt idx="35">
                  <c:v>170</c:v>
                </c:pt>
                <c:pt idx="36">
                  <c:v>135</c:v>
                </c:pt>
                <c:pt idx="37">
                  <c:v>135</c:v>
                </c:pt>
                <c:pt idx="38">
                  <c:v>135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7B-466F-A164-B03A505A8807}"/>
            </c:ext>
          </c:extLst>
        </c:ser>
        <c:ser>
          <c:idx val="1"/>
          <c:order val="1"/>
          <c:tx>
            <c:strRef>
              <c:f>Sheet1!$E$12</c:f>
              <c:strCache>
                <c:ptCount val="1"/>
                <c:pt idx="0">
                  <c:v>hr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Sheet1!$A$13:$A$67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Sheet1!$E$13:$E$67</c:f>
              <c:numCache>
                <c:formatCode>0.0</c:formatCode>
                <c:ptCount val="55"/>
                <c:pt idx="0" formatCode="General">
                  <c:v>120</c:v>
                </c:pt>
                <c:pt idx="1">
                  <c:v>120</c:v>
                </c:pt>
                <c:pt idx="2">
                  <c:v>133.35939513215055</c:v>
                </c:pt>
                <c:pt idx="3">
                  <c:v>133.2750791873973</c:v>
                </c:pt>
                <c:pt idx="4">
                  <c:v>125.14243993810052</c:v>
                </c:pt>
                <c:pt idx="5">
                  <c:v>114.7444699585876</c:v>
                </c:pt>
                <c:pt idx="6">
                  <c:v>114.07953676943055</c:v>
                </c:pt>
                <c:pt idx="7">
                  <c:v>125.96745583657452</c:v>
                </c:pt>
                <c:pt idx="8">
                  <c:v>144.67489266208534</c:v>
                </c:pt>
                <c:pt idx="9">
                  <c:v>165.841945811957</c:v>
                </c:pt>
                <c:pt idx="10">
                  <c:v>183.52957900408768</c:v>
                </c:pt>
                <c:pt idx="11">
                  <c:v>186.00638770406681</c:v>
                </c:pt>
                <c:pt idx="12">
                  <c:v>178.87818839411278</c:v>
                </c:pt>
                <c:pt idx="13">
                  <c:v>167.63852767558805</c:v>
                </c:pt>
                <c:pt idx="14">
                  <c:v>164.58043802435583</c:v>
                </c:pt>
                <c:pt idx="15">
                  <c:v>173.674927260706</c:v>
                </c:pt>
                <c:pt idx="16">
                  <c:v>189.18755008951692</c:v>
                </c:pt>
                <c:pt idx="17">
                  <c:v>206.00150364637466</c:v>
                </c:pt>
                <c:pt idx="18">
                  <c:v>210.17353654519331</c:v>
                </c:pt>
                <c:pt idx="19">
                  <c:v>205.33942170805537</c:v>
                </c:pt>
                <c:pt idx="20">
                  <c:v>196.82460530709679</c:v>
                </c:pt>
                <c:pt idx="21">
                  <c:v>179.12880708466525</c:v>
                </c:pt>
                <c:pt idx="22">
                  <c:v>156.9301511751685</c:v>
                </c:pt>
                <c:pt idx="23">
                  <c:v>134.08810920361009</c:v>
                </c:pt>
                <c:pt idx="24">
                  <c:v>122.35312559862074</c:v>
                </c:pt>
                <c:pt idx="25">
                  <c:v>123.25736779748475</c:v>
                </c:pt>
                <c:pt idx="26">
                  <c:v>131.53672715288147</c:v>
                </c:pt>
                <c:pt idx="27">
                  <c:v>141.05191682357344</c:v>
                </c:pt>
                <c:pt idx="28">
                  <c:v>140.82288035750813</c:v>
                </c:pt>
                <c:pt idx="29">
                  <c:v>131.31307397611448</c:v>
                </c:pt>
                <c:pt idx="30">
                  <c:v>117.97462472643858</c:v>
                </c:pt>
                <c:pt idx="31">
                  <c:v>113.33700994819662</c:v>
                </c:pt>
                <c:pt idx="32">
                  <c:v>116.7452289135023</c:v>
                </c:pt>
                <c:pt idx="33">
                  <c:v>127.78192881134383</c:v>
                </c:pt>
                <c:pt idx="34">
                  <c:v>140.80733804303281</c:v>
                </c:pt>
                <c:pt idx="35">
                  <c:v>158.98189341414204</c:v>
                </c:pt>
                <c:pt idx="36">
                  <c:v>160.10324917912283</c:v>
                </c:pt>
                <c:pt idx="37">
                  <c:v>150.85920065420839</c:v>
                </c:pt>
                <c:pt idx="38">
                  <c:v>136.72491268234381</c:v>
                </c:pt>
                <c:pt idx="39">
                  <c:v>119.50425116835711</c:v>
                </c:pt>
                <c:pt idx="40">
                  <c:v>110.39586496591636</c:v>
                </c:pt>
                <c:pt idx="41">
                  <c:v>112.10915999056206</c:v>
                </c:pt>
                <c:pt idx="42">
                  <c:v>119.77973657169164</c:v>
                </c:pt>
                <c:pt idx="43">
                  <c:v>124.98725768900812</c:v>
                </c:pt>
                <c:pt idx="44">
                  <c:v>122.67117470662218</c:v>
                </c:pt>
                <c:pt idx="45">
                  <c:v>117.32788954949385</c:v>
                </c:pt>
                <c:pt idx="46">
                  <c:v>118.07632860389829</c:v>
                </c:pt>
                <c:pt idx="47">
                  <c:v>121.78689194827777</c:v>
                </c:pt>
                <c:pt idx="48">
                  <c:v>120.89738903908452</c:v>
                </c:pt>
                <c:pt idx="49">
                  <c:v>118.41659258175748</c:v>
                </c:pt>
                <c:pt idx="50">
                  <c:v>119.81346502358703</c:v>
                </c:pt>
                <c:pt idx="51">
                  <c:v>121.17155230212913</c:v>
                </c:pt>
                <c:pt idx="52">
                  <c:v>119.62901261219801</c:v>
                </c:pt>
                <c:pt idx="53">
                  <c:v>119.66272301529447</c:v>
                </c:pt>
                <c:pt idx="54">
                  <c:v>120.56649884866913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7B-466F-A164-B03A505A8807}"/>
            </c:ext>
          </c:extLst>
        </c:ser>
        <c:ser>
          <c:idx val="2"/>
          <c:order val="2"/>
          <c:tx>
            <c:strRef>
              <c:f>Sheet1!$F$12</c:f>
              <c:strCache>
                <c:ptCount val="1"/>
                <c:pt idx="0">
                  <c:v>response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Sheet1!$A$13:$A$67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Sheet1!$F$13:$F$67</c:f>
              <c:numCache>
                <c:formatCode>0.0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19.084850188786497</c:v>
                </c:pt>
                <c:pt idx="3">
                  <c:v>-11.5713614629194</c:v>
                </c:pt>
                <c:pt idx="4">
                  <c:v>-11.545785260635455</c:v>
                </c:pt>
                <c:pt idx="5">
                  <c:v>-7.8834091856212343</c:v>
                </c:pt>
                <c:pt idx="6">
                  <c:v>7.9626411407867099</c:v>
                </c:pt>
                <c:pt idx="7">
                  <c:v>17.552684258054573</c:v>
                </c:pt>
                <c:pt idx="8">
                  <c:v>16.53526483603493</c:v>
                </c:pt>
                <c:pt idx="9">
                  <c:v>14.20370150652168</c:v>
                </c:pt>
                <c:pt idx="10">
                  <c:v>7.1248590031538157</c:v>
                </c:pt>
                <c:pt idx="11">
                  <c:v>-11.622530307570409</c:v>
                </c:pt>
                <c:pt idx="12">
                  <c:v>-12.306120757059265</c:v>
                </c:pt>
                <c:pt idx="13">
                  <c:v>-9.9467730465033082</c:v>
                </c:pt>
                <c:pt idx="14">
                  <c:v>5.2652953998323015</c:v>
                </c:pt>
                <c:pt idx="15">
                  <c:v>15.613347181556437</c:v>
                </c:pt>
                <c:pt idx="16">
                  <c:v>14.36561326714401</c:v>
                </c:pt>
                <c:pt idx="17">
                  <c:v>10.72339979938744</c:v>
                </c:pt>
                <c:pt idx="18">
                  <c:v>-8.4519131932800065</c:v>
                </c:pt>
                <c:pt idx="19">
                  <c:v>-10.481906537755911</c:v>
                </c:pt>
                <c:pt idx="20">
                  <c:v>-8.0204964266797312</c:v>
                </c:pt>
                <c:pt idx="21">
                  <c:v>-17.981297688366254</c:v>
                </c:pt>
                <c:pt idx="22">
                  <c:v>-16.544538537196914</c:v>
                </c:pt>
                <c:pt idx="23">
                  <c:v>-13.604069179800504</c:v>
                </c:pt>
                <c:pt idx="24">
                  <c:v>2.8146308256367103</c:v>
                </c:pt>
                <c:pt idx="25">
                  <c:v>11.350331945510883</c:v>
                </c:pt>
                <c:pt idx="26">
                  <c:v>11.052591480111897</c:v>
                </c:pt>
                <c:pt idx="27">
                  <c:v>6.4965343677913161</c:v>
                </c:pt>
                <c:pt idx="28">
                  <c:v>-8.4830718121149964</c:v>
                </c:pt>
                <c:pt idx="29">
                  <c:v>-13.389120716792087</c:v>
                </c:pt>
                <c:pt idx="30">
                  <c:v>-10.903664886913884</c:v>
                </c:pt>
                <c:pt idx="31">
                  <c:v>4.8077925308051341</c:v>
                </c:pt>
                <c:pt idx="32">
                  <c:v>8.8439826175012186</c:v>
                </c:pt>
                <c:pt idx="33">
                  <c:v>12.845383598083037</c:v>
                </c:pt>
                <c:pt idx="34">
                  <c:v>9.1476989899772398</c:v>
                </c:pt>
                <c:pt idx="35">
                  <c:v>14.799014045851189</c:v>
                </c:pt>
                <c:pt idx="36">
                  <c:v>-13.976253510978214</c:v>
                </c:pt>
                <c:pt idx="37">
                  <c:v>-14.166945691289845</c:v>
                </c:pt>
                <c:pt idx="38">
                  <c:v>-12.268369795594205</c:v>
                </c:pt>
                <c:pt idx="39">
                  <c:v>-12.485841044097072</c:v>
                </c:pt>
                <c:pt idx="40">
                  <c:v>1.7485867227875325</c:v>
                </c:pt>
                <c:pt idx="41">
                  <c:v>10.254752494443073</c:v>
                </c:pt>
                <c:pt idx="42">
                  <c:v>9.4894279519173761</c:v>
                </c:pt>
                <c:pt idx="43">
                  <c:v>0.86453595519816795</c:v>
                </c:pt>
                <c:pt idx="44">
                  <c:v>-7.7722795039654438</c:v>
                </c:pt>
                <c:pt idx="45">
                  <c:v>-5.6480505252811088</c:v>
                </c:pt>
                <c:pt idx="46">
                  <c:v>5.6491573552592111</c:v>
                </c:pt>
                <c:pt idx="47">
                  <c:v>4.6592855881954378</c:v>
                </c:pt>
                <c:pt idx="48">
                  <c:v>-4.4512013083156337</c:v>
                </c:pt>
                <c:pt idx="49">
                  <c:v>-2.7815638740158284</c:v>
                </c:pt>
                <c:pt idx="50">
                  <c:v>4.1219290231796633</c:v>
                </c:pt>
                <c:pt idx="51">
                  <c:v>0.74280544777768731</c:v>
                </c:pt>
                <c:pt idx="52">
                  <c:v>-3.3677029386519659</c:v>
                </c:pt>
                <c:pt idx="53">
                  <c:v>1.3703345957930477</c:v>
                </c:pt>
                <c:pt idx="54">
                  <c:v>1.2622137021668154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7B-466F-A164-B03A505A8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135232"/>
        <c:axId val="706134152"/>
      </c:scatterChart>
      <c:valAx>
        <c:axId val="70613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134152"/>
        <c:crosses val="autoZero"/>
        <c:crossBetween val="midCat"/>
      </c:valAx>
      <c:valAx>
        <c:axId val="7061341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13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- Deviance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Sheet2!$A$4:$A$24</c:f>
              <c:numCache>
                <c:formatCode>General</c:formatCode>
                <c:ptCount val="21"/>
                <c:pt idx="0">
                  <c:v>-100</c:v>
                </c:pt>
                <c:pt idx="1">
                  <c:v>-90</c:v>
                </c:pt>
                <c:pt idx="2">
                  <c:v>-80</c:v>
                </c:pt>
                <c:pt idx="3">
                  <c:v>-70</c:v>
                </c:pt>
                <c:pt idx="4">
                  <c:v>-60</c:v>
                </c:pt>
                <c:pt idx="5">
                  <c:v>-50</c:v>
                </c:pt>
                <c:pt idx="6">
                  <c:v>-40</c:v>
                </c:pt>
                <c:pt idx="7">
                  <c:v>-30</c:v>
                </c:pt>
                <c:pt idx="8">
                  <c:v>-20</c:v>
                </c:pt>
                <c:pt idx="9">
                  <c:v>-10</c:v>
                </c:pt>
                <c:pt idx="10">
                  <c:v>0</c:v>
                </c:pt>
                <c:pt idx="11">
                  <c:v>10</c:v>
                </c:pt>
                <c:pt idx="12">
                  <c:v>20</c:v>
                </c:pt>
                <c:pt idx="13">
                  <c:v>30</c:v>
                </c:pt>
                <c:pt idx="14">
                  <c:v>40</c:v>
                </c:pt>
                <c:pt idx="15">
                  <c:v>50</c:v>
                </c:pt>
                <c:pt idx="16">
                  <c:v>60</c:v>
                </c:pt>
                <c:pt idx="17">
                  <c:v>70</c:v>
                </c:pt>
                <c:pt idx="18">
                  <c:v>80</c:v>
                </c:pt>
                <c:pt idx="19">
                  <c:v>90</c:v>
                </c:pt>
                <c:pt idx="20">
                  <c:v>100</c:v>
                </c:pt>
              </c:numCache>
            </c:numRef>
          </c:xVal>
          <c:yVal>
            <c:numRef>
              <c:f>Sheet2!$B$4:$B$24</c:f>
              <c:numCache>
                <c:formatCode>General</c:formatCode>
                <c:ptCount val="21"/>
                <c:pt idx="0">
                  <c:v>-2.3077995409337566</c:v>
                </c:pt>
                <c:pt idx="1">
                  <c:v>-2.2556636300976409</c:v>
                </c:pt>
                <c:pt idx="2">
                  <c:v>-2.1974524185884037</c:v>
                </c:pt>
                <c:pt idx="3">
                  <c:v>-2.1315609478637314</c:v>
                </c:pt>
                <c:pt idx="4">
                  <c:v>-2.0556500706657626</c:v>
                </c:pt>
                <c:pt idx="5">
                  <c:v>-1.9661166717360672</c:v>
                </c:pt>
                <c:pt idx="6">
                  <c:v>-1.8569785728218289</c:v>
                </c:pt>
                <c:pt idx="7">
                  <c:v>-1.717171645932946</c:v>
                </c:pt>
                <c:pt idx="8">
                  <c:v>-1.5224190697731905</c:v>
                </c:pt>
                <c:pt idx="9">
                  <c:v>-1.1990719613014269</c:v>
                </c:pt>
                <c:pt idx="10">
                  <c:v>0</c:v>
                </c:pt>
                <c:pt idx="11">
                  <c:v>1.1990719613014269</c:v>
                </c:pt>
                <c:pt idx="12">
                  <c:v>1.5224190697731905</c:v>
                </c:pt>
                <c:pt idx="13">
                  <c:v>1.717171645932946</c:v>
                </c:pt>
                <c:pt idx="14">
                  <c:v>1.8569785728218289</c:v>
                </c:pt>
                <c:pt idx="15">
                  <c:v>1.9661166717360672</c:v>
                </c:pt>
                <c:pt idx="16">
                  <c:v>2.0556500706657626</c:v>
                </c:pt>
                <c:pt idx="17">
                  <c:v>2.1315609478637314</c:v>
                </c:pt>
                <c:pt idx="18">
                  <c:v>2.1974524185884037</c:v>
                </c:pt>
                <c:pt idx="19">
                  <c:v>2.2556636300976409</c:v>
                </c:pt>
                <c:pt idx="20">
                  <c:v>2.3077995409337566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F-4396-A651-DD418903C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138472"/>
        <c:axId val="706140272"/>
      </c:scatterChart>
      <c:valAx>
        <c:axId val="706138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140272"/>
        <c:crosses val="autoZero"/>
        <c:crossBetween val="midCat"/>
      </c:valAx>
      <c:valAx>
        <c:axId val="7061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138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16</xdr:row>
      <xdr:rowOff>19050</xdr:rowOff>
    </xdr:from>
    <xdr:to>
      <xdr:col>18</xdr:col>
      <xdr:colOff>38100</xdr:colOff>
      <xdr:row>34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75FCA-DEC7-18A7-B6A4-233257AA3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371475</xdr:colOff>
      <xdr:row>36</xdr:row>
      <xdr:rowOff>138112</xdr:rowOff>
    </xdr:from>
    <xdr:to>
      <xdr:col>17</xdr:col>
      <xdr:colOff>66675</xdr:colOff>
      <xdr:row>51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AD006A-0FE2-7356-1F8F-2578FB470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3</xdr:row>
      <xdr:rowOff>176212</xdr:rowOff>
    </xdr:from>
    <xdr:to>
      <xdr:col>12</xdr:col>
      <xdr:colOff>257175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05FEA-FCE3-8E7F-4695-D42317FB8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EA7C-ED12-4544-B861-745385413FAB}">
  <dimension ref="A1:H89"/>
  <sheetViews>
    <sheetView workbookViewId="0">
      <selection activeCell="F15" sqref="F15"/>
    </sheetView>
  </sheetViews>
  <sheetFormatPr defaultRowHeight="15" x14ac:dyDescent="0.25"/>
  <cols>
    <col min="6" max="6" width="9.140625" style="1"/>
    <col min="7" max="8" width="12.42578125" style="1" customWidth="1"/>
  </cols>
  <sheetData>
    <row r="1" spans="1:8" x14ac:dyDescent="0.25">
      <c r="A1" s="3" t="s">
        <v>11</v>
      </c>
      <c r="B1" s="3">
        <v>10</v>
      </c>
    </row>
    <row r="2" spans="1:8" x14ac:dyDescent="0.25">
      <c r="A2" s="3" t="s">
        <v>18</v>
      </c>
      <c r="B2" s="3">
        <v>0.7</v>
      </c>
    </row>
    <row r="3" spans="1:8" x14ac:dyDescent="0.25">
      <c r="A3" s="3" t="s">
        <v>17</v>
      </c>
      <c r="B3" s="3">
        <v>0.6</v>
      </c>
    </row>
    <row r="4" spans="1:8" x14ac:dyDescent="0.25">
      <c r="A4" t="s">
        <v>14</v>
      </c>
      <c r="B4">
        <v>1000</v>
      </c>
      <c r="C4" t="s">
        <v>16</v>
      </c>
    </row>
    <row r="5" spans="1:8" x14ac:dyDescent="0.25">
      <c r="A5" t="s">
        <v>15</v>
      </c>
      <c r="B5">
        <v>1</v>
      </c>
      <c r="C5" t="s">
        <v>16</v>
      </c>
    </row>
    <row r="6" spans="1:8" x14ac:dyDescent="0.25">
      <c r="A6" t="s">
        <v>0</v>
      </c>
      <c r="B6">
        <v>300</v>
      </c>
      <c r="D6">
        <v>200</v>
      </c>
    </row>
    <row r="7" spans="1:8" x14ac:dyDescent="0.25">
      <c r="A7" t="s">
        <v>1</v>
      </c>
      <c r="B7">
        <v>15</v>
      </c>
      <c r="D7">
        <v>20</v>
      </c>
    </row>
    <row r="8" spans="1:8" x14ac:dyDescent="0.25">
      <c r="A8" t="s">
        <v>2</v>
      </c>
      <c r="B8">
        <v>0.78</v>
      </c>
      <c r="D8">
        <v>0.8</v>
      </c>
    </row>
    <row r="9" spans="1:8" x14ac:dyDescent="0.25">
      <c r="A9" t="s">
        <v>3</v>
      </c>
      <c r="B9">
        <v>-0.04</v>
      </c>
      <c r="C9" t="s">
        <v>4</v>
      </c>
      <c r="D9">
        <v>-0.03</v>
      </c>
    </row>
    <row r="10" spans="1:8" x14ac:dyDescent="0.25">
      <c r="A10" t="s">
        <v>5</v>
      </c>
      <c r="B10">
        <v>100</v>
      </c>
    </row>
    <row r="12" spans="1:8" x14ac:dyDescent="0.25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s="1" t="s">
        <v>12</v>
      </c>
      <c r="G12" s="1" t="s">
        <v>13</v>
      </c>
      <c r="H12" s="1" t="s">
        <v>13</v>
      </c>
    </row>
    <row r="13" spans="1:8" x14ac:dyDescent="0.25">
      <c r="A13">
        <v>1</v>
      </c>
      <c r="B13">
        <f>C13*10</f>
        <v>0</v>
      </c>
      <c r="C13">
        <v>0</v>
      </c>
      <c r="D13">
        <v>120</v>
      </c>
      <c r="E13">
        <v>120</v>
      </c>
      <c r="F13" s="1">
        <v>0</v>
      </c>
      <c r="G13" s="1">
        <v>0</v>
      </c>
      <c r="H13" s="1">
        <v>0</v>
      </c>
    </row>
    <row r="14" spans="1:8" x14ac:dyDescent="0.25">
      <c r="A14">
        <v>2</v>
      </c>
      <c r="B14">
        <f t="shared" ref="B14:B67" si="0">C14*10</f>
        <v>0</v>
      </c>
      <c r="C14">
        <v>0</v>
      </c>
      <c r="D14">
        <v>120</v>
      </c>
      <c r="E14" s="1">
        <f>E13+G14</f>
        <v>120</v>
      </c>
      <c r="F14" s="1">
        <f>LOG(ABS(D14-E13)+1)*B$1*SIGN(D14-E13)</f>
        <v>0</v>
      </c>
      <c r="G14" s="1">
        <f>G13*B$3+F14*B$2</f>
        <v>0</v>
      </c>
      <c r="H14" s="1">
        <f>G14-G13</f>
        <v>0</v>
      </c>
    </row>
    <row r="15" spans="1:8" x14ac:dyDescent="0.25">
      <c r="A15">
        <v>3</v>
      </c>
      <c r="B15">
        <f t="shared" si="0"/>
        <v>100</v>
      </c>
      <c r="C15">
        <v>10</v>
      </c>
      <c r="D15">
        <v>200</v>
      </c>
      <c r="E15" s="1">
        <f>E14+G15</f>
        <v>133.35939513215055</v>
      </c>
      <c r="F15" s="1">
        <f>LOG(ABS(D15-E14)+1)*B$1*SIGN(D15-E14)</f>
        <v>19.084850188786497</v>
      </c>
      <c r="G15" s="1">
        <f>G14*B$3+F15*B$2</f>
        <v>13.359395132150548</v>
      </c>
      <c r="H15" s="1">
        <f>G15-G14</f>
        <v>13.359395132150548</v>
      </c>
    </row>
    <row r="16" spans="1:8" x14ac:dyDescent="0.25">
      <c r="A16">
        <v>4</v>
      </c>
      <c r="B16">
        <f t="shared" si="0"/>
        <v>0</v>
      </c>
      <c r="C16">
        <v>0</v>
      </c>
      <c r="D16">
        <v>120</v>
      </c>
      <c r="E16" s="1">
        <f>E15+G16</f>
        <v>133.2750791873973</v>
      </c>
      <c r="F16" s="1">
        <f>LOG(ABS(D16-E15)+1)*B$1*SIGN(D16-E15)</f>
        <v>-11.5713614629194</v>
      </c>
      <c r="G16" s="1">
        <f t="shared" ref="G16:G78" si="1">G15*B$3+F16*B$2</f>
        <v>-8.4315944753249994E-2</v>
      </c>
      <c r="H16" s="1">
        <f>G16-G15</f>
        <v>-13.443711076903798</v>
      </c>
    </row>
    <row r="17" spans="1:8" x14ac:dyDescent="0.25">
      <c r="A17">
        <v>5</v>
      </c>
      <c r="B17">
        <f t="shared" si="0"/>
        <v>0</v>
      </c>
      <c r="C17">
        <v>0</v>
      </c>
      <c r="D17">
        <v>120</v>
      </c>
      <c r="E17" s="1">
        <f>E16+G17</f>
        <v>125.14243993810052</v>
      </c>
      <c r="F17" s="1">
        <f t="shared" ref="F16:F67" si="2">LOG(ABS(D17-E16)+1)*B$1*SIGN(D17-E16)</f>
        <v>-11.545785260635455</v>
      </c>
      <c r="G17" s="1">
        <f t="shared" si="1"/>
        <v>-8.1326392492967692</v>
      </c>
      <c r="H17" s="1">
        <f>G17-G16</f>
        <v>-8.0483233045435192</v>
      </c>
    </row>
    <row r="18" spans="1:8" x14ac:dyDescent="0.25">
      <c r="A18">
        <v>6</v>
      </c>
      <c r="B18">
        <f t="shared" si="0"/>
        <v>0</v>
      </c>
      <c r="C18">
        <v>0</v>
      </c>
      <c r="D18">
        <v>120</v>
      </c>
      <c r="E18" s="1">
        <f>E17+G18</f>
        <v>114.7444699585876</v>
      </c>
      <c r="F18" s="1">
        <f t="shared" si="2"/>
        <v>-7.8834091856212343</v>
      </c>
      <c r="G18" s="1">
        <f t="shared" si="1"/>
        <v>-10.397969979512926</v>
      </c>
      <c r="H18" s="1">
        <f>G18-G17</f>
        <v>-2.2653307302161565</v>
      </c>
    </row>
    <row r="19" spans="1:8" x14ac:dyDescent="0.25">
      <c r="A19">
        <v>7</v>
      </c>
      <c r="B19">
        <f t="shared" si="0"/>
        <v>0</v>
      </c>
      <c r="C19">
        <v>0</v>
      </c>
      <c r="D19">
        <v>120</v>
      </c>
      <c r="E19" s="1">
        <f>E18+G19</f>
        <v>114.07953676943055</v>
      </c>
      <c r="F19" s="1">
        <f t="shared" si="2"/>
        <v>7.9626411407867099</v>
      </c>
      <c r="G19" s="1">
        <f t="shared" si="1"/>
        <v>-0.66493318915705846</v>
      </c>
      <c r="H19" s="1">
        <f>G19-G18</f>
        <v>9.7330367903558681</v>
      </c>
    </row>
    <row r="20" spans="1:8" x14ac:dyDescent="0.25">
      <c r="A20">
        <v>8</v>
      </c>
      <c r="B20">
        <f t="shared" si="0"/>
        <v>80</v>
      </c>
      <c r="C20">
        <v>8</v>
      </c>
      <c r="D20">
        <v>170</v>
      </c>
      <c r="E20" s="1">
        <f>E19+G20</f>
        <v>125.96745583657452</v>
      </c>
      <c r="F20" s="1">
        <f t="shared" si="2"/>
        <v>17.552684258054573</v>
      </c>
      <c r="G20" s="1">
        <f t="shared" si="1"/>
        <v>11.887919067143965</v>
      </c>
      <c r="H20" s="1">
        <f>G20-G19</f>
        <v>12.552852256301023</v>
      </c>
    </row>
    <row r="21" spans="1:8" x14ac:dyDescent="0.25">
      <c r="A21">
        <v>9</v>
      </c>
      <c r="B21">
        <f t="shared" si="0"/>
        <v>80</v>
      </c>
      <c r="C21">
        <v>8</v>
      </c>
      <c r="D21">
        <v>170</v>
      </c>
      <c r="E21" s="1">
        <f>E20+G21</f>
        <v>144.67489266208534</v>
      </c>
      <c r="F21" s="1">
        <f t="shared" si="2"/>
        <v>16.53526483603493</v>
      </c>
      <c r="G21" s="1">
        <f t="shared" si="1"/>
        <v>18.707436825510829</v>
      </c>
      <c r="H21" s="1">
        <f>G21-G20</f>
        <v>6.8195177583668638</v>
      </c>
    </row>
    <row r="22" spans="1:8" x14ac:dyDescent="0.25">
      <c r="A22">
        <v>10</v>
      </c>
      <c r="B22">
        <f t="shared" si="0"/>
        <v>80</v>
      </c>
      <c r="C22">
        <v>8</v>
      </c>
      <c r="D22">
        <v>170</v>
      </c>
      <c r="E22" s="1">
        <f>E21+G22</f>
        <v>165.841945811957</v>
      </c>
      <c r="F22" s="1">
        <f t="shared" si="2"/>
        <v>14.20370150652168</v>
      </c>
      <c r="G22" s="1">
        <f t="shared" si="1"/>
        <v>21.167053149871673</v>
      </c>
      <c r="H22" s="1">
        <f>G22-G21</f>
        <v>2.4596163243608444</v>
      </c>
    </row>
    <row r="23" spans="1:8" x14ac:dyDescent="0.25">
      <c r="A23">
        <v>11</v>
      </c>
      <c r="B23">
        <f t="shared" si="0"/>
        <v>80</v>
      </c>
      <c r="C23">
        <v>8</v>
      </c>
      <c r="D23">
        <v>170</v>
      </c>
      <c r="E23" s="1">
        <f>E22+G23</f>
        <v>183.52957900408768</v>
      </c>
      <c r="F23" s="1">
        <f t="shared" si="2"/>
        <v>7.1248590031538157</v>
      </c>
      <c r="G23" s="1">
        <f t="shared" si="1"/>
        <v>17.687633192130676</v>
      </c>
      <c r="H23" s="1">
        <f>G23-G22</f>
        <v>-3.4794199577409977</v>
      </c>
    </row>
    <row r="24" spans="1:8" x14ac:dyDescent="0.25">
      <c r="A24">
        <v>12</v>
      </c>
      <c r="B24">
        <f t="shared" si="0"/>
        <v>80</v>
      </c>
      <c r="C24">
        <v>8</v>
      </c>
      <c r="D24">
        <v>170</v>
      </c>
      <c r="E24" s="1">
        <f>E23+G24</f>
        <v>186.00638770406681</v>
      </c>
      <c r="F24" s="1">
        <f t="shared" si="2"/>
        <v>-11.622530307570409</v>
      </c>
      <c r="G24" s="1">
        <f t="shared" si="1"/>
        <v>2.4768086999791183</v>
      </c>
      <c r="H24" s="1">
        <f>G24-G23</f>
        <v>-15.210824492151557</v>
      </c>
    </row>
    <row r="25" spans="1:8" x14ac:dyDescent="0.25">
      <c r="A25">
        <v>13</v>
      </c>
      <c r="B25">
        <f t="shared" si="0"/>
        <v>80</v>
      </c>
      <c r="C25">
        <v>8</v>
      </c>
      <c r="D25">
        <v>170</v>
      </c>
      <c r="E25" s="1">
        <f>E24+G25</f>
        <v>178.87818839411278</v>
      </c>
      <c r="F25" s="1">
        <f t="shared" si="2"/>
        <v>-12.306120757059265</v>
      </c>
      <c r="G25" s="1">
        <f t="shared" si="1"/>
        <v>-7.1281993099540131</v>
      </c>
      <c r="H25" s="1">
        <f>G25-G24</f>
        <v>-9.6050080099331314</v>
      </c>
    </row>
    <row r="26" spans="1:8" x14ac:dyDescent="0.25">
      <c r="A26">
        <v>14</v>
      </c>
      <c r="B26">
        <f t="shared" si="0"/>
        <v>80</v>
      </c>
      <c r="C26">
        <v>8</v>
      </c>
      <c r="D26">
        <v>170</v>
      </c>
      <c r="E26" s="1">
        <f>E25+G26</f>
        <v>167.63852767558805</v>
      </c>
      <c r="F26" s="1">
        <f t="shared" si="2"/>
        <v>-9.9467730465033082</v>
      </c>
      <c r="G26" s="1">
        <f t="shared" si="1"/>
        <v>-11.239660718524723</v>
      </c>
      <c r="H26" s="1">
        <f>G26-G25</f>
        <v>-4.11146140857071</v>
      </c>
    </row>
    <row r="27" spans="1:8" x14ac:dyDescent="0.25">
      <c r="A27">
        <v>15</v>
      </c>
      <c r="B27">
        <f t="shared" si="0"/>
        <v>80</v>
      </c>
      <c r="C27">
        <v>8</v>
      </c>
      <c r="D27">
        <v>170</v>
      </c>
      <c r="E27" s="1">
        <f>E26+G27</f>
        <v>164.58043802435583</v>
      </c>
      <c r="F27" s="1">
        <f t="shared" si="2"/>
        <v>5.2652953998323015</v>
      </c>
      <c r="G27" s="1">
        <f t="shared" si="1"/>
        <v>-3.0580896512322226</v>
      </c>
      <c r="H27" s="1">
        <f>G27-G26</f>
        <v>8.1815710672925004</v>
      </c>
    </row>
    <row r="28" spans="1:8" x14ac:dyDescent="0.25">
      <c r="A28">
        <v>16</v>
      </c>
      <c r="B28">
        <f t="shared" si="0"/>
        <v>100</v>
      </c>
      <c r="C28">
        <v>10</v>
      </c>
      <c r="D28">
        <v>200</v>
      </c>
      <c r="E28" s="1">
        <f>E27+G28</f>
        <v>173.674927260706</v>
      </c>
      <c r="F28" s="1">
        <f t="shared" si="2"/>
        <v>15.613347181556437</v>
      </c>
      <c r="G28" s="1">
        <f t="shared" si="1"/>
        <v>9.0944892363501708</v>
      </c>
      <c r="H28" s="1">
        <f>G28-G27</f>
        <v>12.152578887582393</v>
      </c>
    </row>
    <row r="29" spans="1:8" x14ac:dyDescent="0.25">
      <c r="A29">
        <v>17</v>
      </c>
      <c r="B29">
        <f t="shared" si="0"/>
        <v>100</v>
      </c>
      <c r="C29">
        <v>10</v>
      </c>
      <c r="D29">
        <v>200</v>
      </c>
      <c r="E29" s="1">
        <f>E28+G29</f>
        <v>189.18755008951692</v>
      </c>
      <c r="F29" s="1">
        <f t="shared" si="2"/>
        <v>14.36561326714401</v>
      </c>
      <c r="G29" s="1">
        <f t="shared" si="1"/>
        <v>15.512622828810908</v>
      </c>
      <c r="H29" s="1">
        <f>G29-G28</f>
        <v>6.4181335924607374</v>
      </c>
    </row>
    <row r="30" spans="1:8" x14ac:dyDescent="0.25">
      <c r="A30">
        <v>18</v>
      </c>
      <c r="B30">
        <f t="shared" si="0"/>
        <v>100</v>
      </c>
      <c r="C30">
        <v>10</v>
      </c>
      <c r="D30">
        <v>200</v>
      </c>
      <c r="E30" s="1">
        <f>E29+G30</f>
        <v>206.00150364637466</v>
      </c>
      <c r="F30" s="1">
        <f t="shared" si="2"/>
        <v>10.72339979938744</v>
      </c>
      <c r="G30" s="1">
        <f t="shared" si="1"/>
        <v>16.813953556857754</v>
      </c>
      <c r="H30" s="1">
        <f>G30-G29</f>
        <v>1.301330728046846</v>
      </c>
    </row>
    <row r="31" spans="1:8" x14ac:dyDescent="0.25">
      <c r="A31">
        <v>19</v>
      </c>
      <c r="B31">
        <f t="shared" si="0"/>
        <v>100</v>
      </c>
      <c r="C31">
        <v>10</v>
      </c>
      <c r="D31">
        <v>200</v>
      </c>
      <c r="E31" s="1">
        <f>E30+G31</f>
        <v>210.17353654519331</v>
      </c>
      <c r="F31" s="1">
        <f t="shared" si="2"/>
        <v>-8.4519131932800065</v>
      </c>
      <c r="G31" s="1">
        <f t="shared" si="1"/>
        <v>4.1720328988186477</v>
      </c>
      <c r="H31" s="1">
        <f>G31-G30</f>
        <v>-12.641920658039107</v>
      </c>
    </row>
    <row r="32" spans="1:8" x14ac:dyDescent="0.25">
      <c r="A32">
        <v>20</v>
      </c>
      <c r="B32">
        <f t="shared" si="0"/>
        <v>100</v>
      </c>
      <c r="C32">
        <v>10</v>
      </c>
      <c r="D32">
        <v>200</v>
      </c>
      <c r="E32" s="1">
        <f>E31+G32</f>
        <v>205.33942170805537</v>
      </c>
      <c r="F32" s="1">
        <f t="shared" si="2"/>
        <v>-10.481906537755911</v>
      </c>
      <c r="G32" s="1">
        <f t="shared" si="1"/>
        <v>-4.8341148371379496</v>
      </c>
      <c r="H32" s="1">
        <f>G32-G31</f>
        <v>-9.0061477359565973</v>
      </c>
    </row>
    <row r="33" spans="1:8" x14ac:dyDescent="0.25">
      <c r="A33">
        <v>21</v>
      </c>
      <c r="B33">
        <f t="shared" si="0"/>
        <v>100</v>
      </c>
      <c r="C33">
        <v>10</v>
      </c>
      <c r="D33">
        <v>200</v>
      </c>
      <c r="E33" s="1">
        <f>E32+G33</f>
        <v>196.82460530709679</v>
      </c>
      <c r="F33" s="1">
        <f t="shared" si="2"/>
        <v>-8.0204964266797312</v>
      </c>
      <c r="G33" s="1">
        <f t="shared" si="1"/>
        <v>-8.5148164009585816</v>
      </c>
      <c r="H33" s="1">
        <f>G33-G32</f>
        <v>-3.680701563820632</v>
      </c>
    </row>
    <row r="34" spans="1:8" x14ac:dyDescent="0.25">
      <c r="A34">
        <v>22</v>
      </c>
      <c r="B34">
        <f t="shared" si="0"/>
        <v>20</v>
      </c>
      <c r="C34">
        <v>2</v>
      </c>
      <c r="D34">
        <v>135</v>
      </c>
      <c r="E34" s="1">
        <f>E33+G34</f>
        <v>179.12880708466525</v>
      </c>
      <c r="F34" s="1">
        <f t="shared" si="2"/>
        <v>-17.981297688366254</v>
      </c>
      <c r="G34" s="1">
        <f t="shared" si="1"/>
        <v>-17.695798222431527</v>
      </c>
      <c r="H34" s="1">
        <f>G34-G33</f>
        <v>-9.1809818214729457</v>
      </c>
    </row>
    <row r="35" spans="1:8" x14ac:dyDescent="0.25">
      <c r="A35">
        <v>23</v>
      </c>
      <c r="B35">
        <f t="shared" si="0"/>
        <v>20</v>
      </c>
      <c r="C35">
        <v>2</v>
      </c>
      <c r="D35">
        <v>135</v>
      </c>
      <c r="E35" s="1">
        <f>E34+G35</f>
        <v>156.9301511751685</v>
      </c>
      <c r="F35" s="1">
        <f t="shared" si="2"/>
        <v>-16.544538537196914</v>
      </c>
      <c r="G35" s="1">
        <f t="shared" si="1"/>
        <v>-22.198655909496754</v>
      </c>
      <c r="H35" s="1">
        <f>G35-G34</f>
        <v>-4.5028576870652266</v>
      </c>
    </row>
    <row r="36" spans="1:8" x14ac:dyDescent="0.25">
      <c r="A36">
        <v>24</v>
      </c>
      <c r="B36">
        <f t="shared" si="0"/>
        <v>20</v>
      </c>
      <c r="C36">
        <v>2</v>
      </c>
      <c r="D36">
        <v>135</v>
      </c>
      <c r="E36" s="1">
        <f>E35+G36</f>
        <v>134.08810920361009</v>
      </c>
      <c r="F36" s="1">
        <f t="shared" si="2"/>
        <v>-13.604069179800504</v>
      </c>
      <c r="G36" s="1">
        <f t="shared" si="1"/>
        <v>-22.842041971558405</v>
      </c>
      <c r="H36" s="1">
        <f>G36-G35</f>
        <v>-0.64338606206165139</v>
      </c>
    </row>
    <row r="37" spans="1:8" x14ac:dyDescent="0.25">
      <c r="A37">
        <v>25</v>
      </c>
      <c r="B37">
        <f t="shared" si="0"/>
        <v>20</v>
      </c>
      <c r="C37">
        <v>2</v>
      </c>
      <c r="D37">
        <v>135</v>
      </c>
      <c r="E37" s="1">
        <f>E36+G37</f>
        <v>122.35312559862074</v>
      </c>
      <c r="F37" s="1">
        <f t="shared" si="2"/>
        <v>2.8146308256367103</v>
      </c>
      <c r="G37" s="1">
        <f t="shared" si="1"/>
        <v>-11.734983604989347</v>
      </c>
      <c r="H37" s="1">
        <f>G37-G36</f>
        <v>11.107058366569058</v>
      </c>
    </row>
    <row r="38" spans="1:8" x14ac:dyDescent="0.25">
      <c r="A38">
        <v>26</v>
      </c>
      <c r="B38">
        <f t="shared" si="0"/>
        <v>20</v>
      </c>
      <c r="C38">
        <v>2</v>
      </c>
      <c r="D38">
        <v>135</v>
      </c>
      <c r="E38" s="1">
        <f>E37+G38</f>
        <v>123.25736779748475</v>
      </c>
      <c r="F38" s="1">
        <f t="shared" si="2"/>
        <v>11.350331945510883</v>
      </c>
      <c r="G38" s="1">
        <f t="shared" si="1"/>
        <v>0.90424219886400969</v>
      </c>
      <c r="H38" s="1">
        <f>G38-G37</f>
        <v>12.639225803853357</v>
      </c>
    </row>
    <row r="39" spans="1:8" x14ac:dyDescent="0.25">
      <c r="A39">
        <v>27</v>
      </c>
      <c r="B39">
        <f t="shared" si="0"/>
        <v>20</v>
      </c>
      <c r="C39">
        <v>2</v>
      </c>
      <c r="D39">
        <v>135</v>
      </c>
      <c r="E39" s="1">
        <f>E38+G39</f>
        <v>131.53672715288147</v>
      </c>
      <c r="F39" s="1">
        <f t="shared" si="2"/>
        <v>11.052591480111897</v>
      </c>
      <c r="G39" s="1">
        <f t="shared" si="1"/>
        <v>8.279359355396732</v>
      </c>
      <c r="H39" s="1">
        <f>G39-G38</f>
        <v>7.3751171565327223</v>
      </c>
    </row>
    <row r="40" spans="1:8" x14ac:dyDescent="0.25">
      <c r="A40">
        <v>28</v>
      </c>
      <c r="B40">
        <f t="shared" si="0"/>
        <v>20</v>
      </c>
      <c r="C40">
        <v>2</v>
      </c>
      <c r="D40">
        <v>135</v>
      </c>
      <c r="E40" s="1">
        <f>E39+G40</f>
        <v>141.05191682357344</v>
      </c>
      <c r="F40" s="1">
        <f t="shared" si="2"/>
        <v>6.4965343677913161</v>
      </c>
      <c r="G40" s="1">
        <f t="shared" si="1"/>
        <v>9.5151896706919601</v>
      </c>
      <c r="H40" s="1">
        <f>G40-G39</f>
        <v>1.2358303152952281</v>
      </c>
    </row>
    <row r="41" spans="1:8" x14ac:dyDescent="0.25">
      <c r="A41">
        <v>29</v>
      </c>
      <c r="B41">
        <f t="shared" si="0"/>
        <v>20</v>
      </c>
      <c r="C41">
        <v>2</v>
      </c>
      <c r="D41">
        <v>135</v>
      </c>
      <c r="E41" s="1">
        <f>E40+G41</f>
        <v>140.82288035750813</v>
      </c>
      <c r="F41" s="1">
        <f t="shared" si="2"/>
        <v>-8.4830718121149964</v>
      </c>
      <c r="G41" s="1">
        <f t="shared" si="1"/>
        <v>-0.22903646606532124</v>
      </c>
      <c r="H41" s="1">
        <f>G41-G40</f>
        <v>-9.7442261367572804</v>
      </c>
    </row>
    <row r="42" spans="1:8" x14ac:dyDescent="0.25">
      <c r="A42">
        <v>30</v>
      </c>
      <c r="B42">
        <f t="shared" si="0"/>
        <v>0</v>
      </c>
      <c r="C42">
        <v>0</v>
      </c>
      <c r="D42">
        <v>120</v>
      </c>
      <c r="E42" s="1">
        <f>E41+G42</f>
        <v>131.31307397611448</v>
      </c>
      <c r="F42" s="1">
        <f t="shared" si="2"/>
        <v>-13.389120716792087</v>
      </c>
      <c r="G42" s="1">
        <f t="shared" si="1"/>
        <v>-9.5098063813936538</v>
      </c>
      <c r="H42" s="1">
        <f>G42-G41</f>
        <v>-9.2807699153283316</v>
      </c>
    </row>
    <row r="43" spans="1:8" x14ac:dyDescent="0.25">
      <c r="A43">
        <v>31</v>
      </c>
      <c r="B43">
        <f t="shared" si="0"/>
        <v>0</v>
      </c>
      <c r="C43">
        <v>0</v>
      </c>
      <c r="D43">
        <v>120</v>
      </c>
      <c r="E43" s="1">
        <f>E42+G43</f>
        <v>117.97462472643858</v>
      </c>
      <c r="F43" s="1">
        <f t="shared" si="2"/>
        <v>-10.903664886913884</v>
      </c>
      <c r="G43" s="1">
        <f t="shared" si="1"/>
        <v>-13.338449249675911</v>
      </c>
      <c r="H43" s="1">
        <f>G43-G42</f>
        <v>-3.8286428682822571</v>
      </c>
    </row>
    <row r="44" spans="1:8" x14ac:dyDescent="0.25">
      <c r="A44">
        <v>32</v>
      </c>
      <c r="B44">
        <f t="shared" si="0"/>
        <v>0</v>
      </c>
      <c r="C44">
        <v>0</v>
      </c>
      <c r="D44">
        <v>120</v>
      </c>
      <c r="E44" s="1">
        <f>E43+G44</f>
        <v>113.33700994819662</v>
      </c>
      <c r="F44" s="1">
        <f t="shared" si="2"/>
        <v>4.8077925308051341</v>
      </c>
      <c r="G44" s="1">
        <f t="shared" si="1"/>
        <v>-4.6376147782419537</v>
      </c>
      <c r="H44" s="1">
        <f>G44-G43</f>
        <v>8.7008344714339572</v>
      </c>
    </row>
    <row r="45" spans="1:8" x14ac:dyDescent="0.25">
      <c r="A45">
        <v>33</v>
      </c>
      <c r="B45">
        <f t="shared" si="0"/>
        <v>0</v>
      </c>
      <c r="C45">
        <v>0</v>
      </c>
      <c r="D45">
        <v>120</v>
      </c>
      <c r="E45" s="1">
        <f>E44+G45</f>
        <v>116.7452289135023</v>
      </c>
      <c r="F45" s="1">
        <f t="shared" si="2"/>
        <v>8.8439826175012186</v>
      </c>
      <c r="G45" s="1">
        <f t="shared" si="1"/>
        <v>3.4082189653056805</v>
      </c>
      <c r="H45" s="1">
        <f>G45-G44</f>
        <v>8.0458337435476341</v>
      </c>
    </row>
    <row r="46" spans="1:8" x14ac:dyDescent="0.25">
      <c r="A46">
        <v>34</v>
      </c>
      <c r="B46">
        <f t="shared" si="0"/>
        <v>20</v>
      </c>
      <c r="C46">
        <v>2</v>
      </c>
      <c r="D46">
        <v>135</v>
      </c>
      <c r="E46" s="1">
        <f>E45+G46</f>
        <v>127.78192881134383</v>
      </c>
      <c r="F46" s="1">
        <f t="shared" si="2"/>
        <v>12.845383598083037</v>
      </c>
      <c r="G46" s="1">
        <f t="shared" si="1"/>
        <v>11.036699897841533</v>
      </c>
      <c r="H46" s="1">
        <f>G46-G45</f>
        <v>7.6284809325358527</v>
      </c>
    </row>
    <row r="47" spans="1:8" x14ac:dyDescent="0.25">
      <c r="A47">
        <v>35</v>
      </c>
      <c r="B47">
        <f t="shared" si="0"/>
        <v>20</v>
      </c>
      <c r="C47">
        <v>2</v>
      </c>
      <c r="D47">
        <v>135</v>
      </c>
      <c r="E47" s="1">
        <f>E46+G47</f>
        <v>140.80733804303281</v>
      </c>
      <c r="F47" s="1">
        <f t="shared" si="2"/>
        <v>9.1476989899772398</v>
      </c>
      <c r="G47" s="1">
        <f t="shared" si="1"/>
        <v>13.025409231688988</v>
      </c>
      <c r="H47" s="1">
        <f>G47-G46</f>
        <v>1.9887093338474546</v>
      </c>
    </row>
    <row r="48" spans="1:8" x14ac:dyDescent="0.25">
      <c r="A48">
        <v>36</v>
      </c>
      <c r="B48">
        <f t="shared" si="0"/>
        <v>80</v>
      </c>
      <c r="C48">
        <v>8</v>
      </c>
      <c r="D48">
        <v>170</v>
      </c>
      <c r="E48" s="1">
        <f>E47+G48</f>
        <v>158.98189341414204</v>
      </c>
      <c r="F48" s="1">
        <f t="shared" si="2"/>
        <v>14.799014045851189</v>
      </c>
      <c r="G48" s="1">
        <f t="shared" si="1"/>
        <v>18.174555371109225</v>
      </c>
      <c r="H48" s="1">
        <f>G48-G47</f>
        <v>5.1491461394202371</v>
      </c>
    </row>
    <row r="49" spans="1:8" x14ac:dyDescent="0.25">
      <c r="A49">
        <v>37</v>
      </c>
      <c r="B49">
        <f t="shared" si="0"/>
        <v>20</v>
      </c>
      <c r="C49">
        <v>2</v>
      </c>
      <c r="D49">
        <v>135</v>
      </c>
      <c r="E49" s="1">
        <f>E48+G49</f>
        <v>160.10324917912283</v>
      </c>
      <c r="F49" s="1">
        <f t="shared" si="2"/>
        <v>-13.976253510978214</v>
      </c>
      <c r="G49" s="1">
        <f t="shared" si="1"/>
        <v>1.1213557649807857</v>
      </c>
      <c r="H49" s="1">
        <f>G49-G48</f>
        <v>-17.053199606128437</v>
      </c>
    </row>
    <row r="50" spans="1:8" x14ac:dyDescent="0.25">
      <c r="A50">
        <v>38</v>
      </c>
      <c r="B50">
        <f t="shared" si="0"/>
        <v>20</v>
      </c>
      <c r="C50">
        <v>2</v>
      </c>
      <c r="D50">
        <v>135</v>
      </c>
      <c r="E50" s="1">
        <f>E49+G50</f>
        <v>150.85920065420839</v>
      </c>
      <c r="F50" s="1">
        <f t="shared" si="2"/>
        <v>-14.166945691289845</v>
      </c>
      <c r="G50" s="1">
        <f t="shared" si="1"/>
        <v>-9.2440485249144189</v>
      </c>
      <c r="H50" s="1">
        <f>G50-G49</f>
        <v>-10.365404289895205</v>
      </c>
    </row>
    <row r="51" spans="1:8" x14ac:dyDescent="0.25">
      <c r="A51">
        <v>39</v>
      </c>
      <c r="B51">
        <f t="shared" si="0"/>
        <v>20</v>
      </c>
      <c r="C51">
        <v>2</v>
      </c>
      <c r="D51">
        <v>135</v>
      </c>
      <c r="E51" s="1">
        <f>E50+G51</f>
        <v>136.72491268234381</v>
      </c>
      <c r="F51" s="1">
        <f t="shared" si="2"/>
        <v>-12.268369795594205</v>
      </c>
      <c r="G51" s="1">
        <f t="shared" si="1"/>
        <v>-14.134287971864595</v>
      </c>
      <c r="H51" s="1">
        <f>G51-G50</f>
        <v>-4.8902394469501758</v>
      </c>
    </row>
    <row r="52" spans="1:8" x14ac:dyDescent="0.25">
      <c r="A52">
        <v>40</v>
      </c>
      <c r="B52">
        <f t="shared" si="0"/>
        <v>0</v>
      </c>
      <c r="C52">
        <v>0</v>
      </c>
      <c r="D52">
        <v>120</v>
      </c>
      <c r="E52" s="1">
        <f>E51+G52</f>
        <v>119.50425116835711</v>
      </c>
      <c r="F52" s="1">
        <f t="shared" si="2"/>
        <v>-12.485841044097072</v>
      </c>
      <c r="G52" s="1">
        <f t="shared" si="1"/>
        <v>-17.220661513986705</v>
      </c>
      <c r="H52" s="1">
        <f>G52-G51</f>
        <v>-3.0863735421221108</v>
      </c>
    </row>
    <row r="53" spans="1:8" x14ac:dyDescent="0.25">
      <c r="A53">
        <v>41</v>
      </c>
      <c r="B53">
        <f t="shared" si="0"/>
        <v>0</v>
      </c>
      <c r="C53">
        <v>0</v>
      </c>
      <c r="D53">
        <v>120</v>
      </c>
      <c r="E53" s="1">
        <f>E52+G53</f>
        <v>110.39586496591636</v>
      </c>
      <c r="F53" s="1">
        <f t="shared" si="2"/>
        <v>1.7485867227875325</v>
      </c>
      <c r="G53" s="1">
        <f t="shared" si="1"/>
        <v>-9.1083862024407498</v>
      </c>
      <c r="H53" s="1">
        <f>G53-G52</f>
        <v>8.1122753115459556</v>
      </c>
    </row>
    <row r="54" spans="1:8" x14ac:dyDescent="0.25">
      <c r="A54">
        <v>42</v>
      </c>
      <c r="B54">
        <f t="shared" si="0"/>
        <v>0</v>
      </c>
      <c r="C54">
        <v>0</v>
      </c>
      <c r="D54">
        <v>120</v>
      </c>
      <c r="E54" s="1">
        <f>E53+G54</f>
        <v>112.10915999056206</v>
      </c>
      <c r="F54" s="1">
        <f t="shared" si="2"/>
        <v>10.254752494443073</v>
      </c>
      <c r="G54" s="1">
        <f t="shared" si="1"/>
        <v>1.713295024645701</v>
      </c>
      <c r="H54" s="1">
        <f>G54-G53</f>
        <v>10.821681227086451</v>
      </c>
    </row>
    <row r="55" spans="1:8" x14ac:dyDescent="0.25">
      <c r="A55">
        <v>43</v>
      </c>
      <c r="B55">
        <f t="shared" si="0"/>
        <v>0</v>
      </c>
      <c r="C55">
        <v>0</v>
      </c>
      <c r="D55">
        <v>120</v>
      </c>
      <c r="E55" s="1">
        <f>E54+G55</f>
        <v>119.77973657169164</v>
      </c>
      <c r="F55" s="1">
        <f t="shared" si="2"/>
        <v>9.4894279519173761</v>
      </c>
      <c r="G55" s="1">
        <f t="shared" si="1"/>
        <v>7.6705765811295841</v>
      </c>
      <c r="H55" s="1">
        <f>G55-G54</f>
        <v>5.957281556483883</v>
      </c>
    </row>
    <row r="56" spans="1:8" x14ac:dyDescent="0.25">
      <c r="A56">
        <v>44</v>
      </c>
      <c r="B56">
        <f t="shared" si="0"/>
        <v>0</v>
      </c>
      <c r="C56">
        <v>0</v>
      </c>
      <c r="D56">
        <v>120</v>
      </c>
      <c r="E56" s="1">
        <f>E55+G56</f>
        <v>124.98725768900812</v>
      </c>
      <c r="F56" s="1">
        <f t="shared" si="2"/>
        <v>0.86453595519816795</v>
      </c>
      <c r="G56" s="1">
        <f t="shared" si="1"/>
        <v>5.2075211173164675</v>
      </c>
      <c r="H56" s="1">
        <f>G56-G55</f>
        <v>-2.4630554638131166</v>
      </c>
    </row>
    <row r="57" spans="1:8" x14ac:dyDescent="0.25">
      <c r="A57">
        <v>45</v>
      </c>
      <c r="B57">
        <f t="shared" si="0"/>
        <v>0</v>
      </c>
      <c r="C57">
        <v>0</v>
      </c>
      <c r="D57">
        <v>120</v>
      </c>
      <c r="E57" s="1">
        <f>E56+G57</f>
        <v>122.67117470662218</v>
      </c>
      <c r="F57" s="1">
        <f t="shared" si="2"/>
        <v>-7.7722795039654438</v>
      </c>
      <c r="G57" s="1">
        <f t="shared" si="1"/>
        <v>-2.3160829823859301</v>
      </c>
      <c r="H57" s="1">
        <f>G57-G56</f>
        <v>-7.5236040997023981</v>
      </c>
    </row>
    <row r="58" spans="1:8" x14ac:dyDescent="0.25">
      <c r="A58">
        <v>46</v>
      </c>
      <c r="B58">
        <f t="shared" si="0"/>
        <v>0</v>
      </c>
      <c r="C58">
        <v>0</v>
      </c>
      <c r="D58">
        <v>120</v>
      </c>
      <c r="E58" s="1">
        <f>E57+G58</f>
        <v>117.32788954949385</v>
      </c>
      <c r="F58" s="1">
        <f t="shared" si="2"/>
        <v>-5.6480505252811088</v>
      </c>
      <c r="G58" s="1">
        <f t="shared" si="1"/>
        <v>-5.3432851571283342</v>
      </c>
      <c r="H58" s="1">
        <f>G58-G57</f>
        <v>-3.0272021747424041</v>
      </c>
    </row>
    <row r="59" spans="1:8" x14ac:dyDescent="0.25">
      <c r="A59">
        <v>47</v>
      </c>
      <c r="B59">
        <f t="shared" si="0"/>
        <v>0</v>
      </c>
      <c r="C59">
        <v>0</v>
      </c>
      <c r="D59">
        <v>120</v>
      </c>
      <c r="E59" s="1">
        <f>E58+G59</f>
        <v>118.07632860389829</v>
      </c>
      <c r="F59" s="1">
        <f t="shared" si="2"/>
        <v>5.6491573552592111</v>
      </c>
      <c r="G59" s="1">
        <f t="shared" si="1"/>
        <v>0.74843905440444702</v>
      </c>
      <c r="H59" s="1">
        <f>G59-G58</f>
        <v>6.0917242115327817</v>
      </c>
    </row>
    <row r="60" spans="1:8" x14ac:dyDescent="0.25">
      <c r="A60">
        <v>48</v>
      </c>
      <c r="B60">
        <f t="shared" si="0"/>
        <v>0</v>
      </c>
      <c r="C60">
        <v>0</v>
      </c>
      <c r="D60">
        <v>120</v>
      </c>
      <c r="E60" s="1">
        <f>E59+G60</f>
        <v>121.78689194827777</v>
      </c>
      <c r="F60" s="1">
        <f t="shared" si="2"/>
        <v>4.6592855881954378</v>
      </c>
      <c r="G60" s="1">
        <f t="shared" si="1"/>
        <v>3.7105633443794743</v>
      </c>
      <c r="H60" s="1">
        <f>G60-G59</f>
        <v>2.9621242899750273</v>
      </c>
    </row>
    <row r="61" spans="1:8" x14ac:dyDescent="0.25">
      <c r="A61">
        <v>49</v>
      </c>
      <c r="B61">
        <f t="shared" si="0"/>
        <v>0</v>
      </c>
      <c r="C61">
        <v>0</v>
      </c>
      <c r="D61">
        <v>120</v>
      </c>
      <c r="E61" s="1">
        <f>E60+G61</f>
        <v>120.89738903908452</v>
      </c>
      <c r="F61" s="1">
        <f t="shared" si="2"/>
        <v>-4.4512013083156337</v>
      </c>
      <c r="G61" s="1">
        <f t="shared" si="1"/>
        <v>-0.88950290919325914</v>
      </c>
      <c r="H61" s="1">
        <f>G61-G60</f>
        <v>-4.6000662535727335</v>
      </c>
    </row>
    <row r="62" spans="1:8" x14ac:dyDescent="0.25">
      <c r="A62">
        <v>50</v>
      </c>
      <c r="B62">
        <f t="shared" si="0"/>
        <v>0</v>
      </c>
      <c r="C62">
        <v>0</v>
      </c>
      <c r="D62">
        <v>120</v>
      </c>
      <c r="E62" s="1">
        <f>E61+G62</f>
        <v>118.41659258175748</v>
      </c>
      <c r="F62" s="1">
        <f t="shared" si="2"/>
        <v>-2.7815638740158284</v>
      </c>
      <c r="G62" s="1">
        <f t="shared" si="1"/>
        <v>-2.4807964573270351</v>
      </c>
      <c r="H62" s="1">
        <f>G62-G61</f>
        <v>-1.591293548133776</v>
      </c>
    </row>
    <row r="63" spans="1:8" x14ac:dyDescent="0.25">
      <c r="A63">
        <v>51</v>
      </c>
      <c r="B63">
        <f t="shared" si="0"/>
        <v>0</v>
      </c>
      <c r="C63">
        <v>0</v>
      </c>
      <c r="D63">
        <v>120</v>
      </c>
      <c r="E63" s="1">
        <f>E62+G63</f>
        <v>119.81346502358703</v>
      </c>
      <c r="F63" s="1">
        <f t="shared" si="2"/>
        <v>4.1219290231796633</v>
      </c>
      <c r="G63" s="1">
        <f t="shared" si="1"/>
        <v>1.3968724418295431</v>
      </c>
      <c r="H63" s="1">
        <f>G63-G62</f>
        <v>3.8776688991565784</v>
      </c>
    </row>
    <row r="64" spans="1:8" x14ac:dyDescent="0.25">
      <c r="A64">
        <v>52</v>
      </c>
      <c r="B64">
        <f t="shared" si="0"/>
        <v>0</v>
      </c>
      <c r="C64">
        <v>0</v>
      </c>
      <c r="D64">
        <v>120</v>
      </c>
      <c r="E64" s="1">
        <f>E63+G64</f>
        <v>121.17155230212913</v>
      </c>
      <c r="F64" s="1">
        <f t="shared" si="2"/>
        <v>0.74280544777768731</v>
      </c>
      <c r="G64" s="1">
        <f t="shared" si="1"/>
        <v>1.358087278542107</v>
      </c>
      <c r="H64" s="1">
        <f>G64-G63</f>
        <v>-3.8785163287436086E-2</v>
      </c>
    </row>
    <row r="65" spans="1:8" x14ac:dyDescent="0.25">
      <c r="A65">
        <v>53</v>
      </c>
      <c r="B65">
        <f t="shared" si="0"/>
        <v>0</v>
      </c>
      <c r="C65">
        <v>0</v>
      </c>
      <c r="D65">
        <v>120</v>
      </c>
      <c r="E65" s="1">
        <f>E64+G65</f>
        <v>119.62901261219801</v>
      </c>
      <c r="F65" s="1">
        <f t="shared" si="2"/>
        <v>-3.3677029386519659</v>
      </c>
      <c r="G65" s="1">
        <f t="shared" si="1"/>
        <v>-1.5425396899311119</v>
      </c>
      <c r="H65" s="1">
        <f>G65-G64</f>
        <v>-2.9006269684732189</v>
      </c>
    </row>
    <row r="66" spans="1:8" x14ac:dyDescent="0.25">
      <c r="A66">
        <v>54</v>
      </c>
      <c r="B66">
        <f t="shared" si="0"/>
        <v>0</v>
      </c>
      <c r="C66">
        <v>0</v>
      </c>
      <c r="D66">
        <v>120</v>
      </c>
      <c r="E66" s="1">
        <f>E65+G66</f>
        <v>119.66272301529447</v>
      </c>
      <c r="F66" s="1">
        <f t="shared" si="2"/>
        <v>1.3703345957930477</v>
      </c>
      <c r="G66" s="1">
        <f t="shared" si="1"/>
        <v>3.3710403096466224E-2</v>
      </c>
      <c r="H66" s="1">
        <f>G66-G65</f>
        <v>1.576250093027578</v>
      </c>
    </row>
    <row r="67" spans="1:8" x14ac:dyDescent="0.25">
      <c r="A67">
        <v>55</v>
      </c>
      <c r="B67">
        <f t="shared" si="0"/>
        <v>0</v>
      </c>
      <c r="C67">
        <v>0</v>
      </c>
      <c r="D67">
        <v>120</v>
      </c>
      <c r="E67" s="1">
        <f>E66+G67</f>
        <v>120.56649884866913</v>
      </c>
      <c r="F67" s="1">
        <f t="shared" si="2"/>
        <v>1.2622137021668154</v>
      </c>
      <c r="G67" s="1">
        <f t="shared" si="1"/>
        <v>0.90377583337465039</v>
      </c>
      <c r="H67" s="1">
        <f>G67-G66</f>
        <v>0.87006543027818417</v>
      </c>
    </row>
    <row r="68" spans="1:8" x14ac:dyDescent="0.25">
      <c r="A68">
        <v>56</v>
      </c>
      <c r="B68">
        <f t="shared" ref="B68:B89" si="3">C68*10</f>
        <v>0</v>
      </c>
      <c r="C68">
        <v>0</v>
      </c>
      <c r="D68">
        <v>120</v>
      </c>
      <c r="E68" s="1">
        <f>E67+G68</f>
        <v>119.7442537885253</v>
      </c>
      <c r="F68" s="1">
        <f t="shared" ref="F68:F89" si="4">LOG(ABS(D68-E67)+1)*B$1*SIGN(D68-E67)</f>
        <v>-1.9493008002408931</v>
      </c>
      <c r="G68" s="1">
        <f t="shared" si="1"/>
        <v>-0.82224506014383492</v>
      </c>
      <c r="H68" s="1">
        <f>G68-G67</f>
        <v>-1.7260208935184853</v>
      </c>
    </row>
    <row r="69" spans="1:8" x14ac:dyDescent="0.25">
      <c r="A69">
        <v>57</v>
      </c>
      <c r="B69">
        <f t="shared" si="3"/>
        <v>0</v>
      </c>
      <c r="C69">
        <v>0</v>
      </c>
      <c r="D69">
        <v>120</v>
      </c>
      <c r="E69" s="1">
        <f>E68+G69</f>
        <v>119.9432198885565</v>
      </c>
      <c r="F69" s="1">
        <f t="shared" si="4"/>
        <v>0.98901876588215376</v>
      </c>
      <c r="G69" s="1">
        <f t="shared" si="1"/>
        <v>0.19896610003120663</v>
      </c>
      <c r="H69" s="1">
        <f>G69-G68</f>
        <v>1.0212111601750415</v>
      </c>
    </row>
    <row r="70" spans="1:8" x14ac:dyDescent="0.25">
      <c r="A70">
        <v>58</v>
      </c>
      <c r="B70">
        <f t="shared" si="3"/>
        <v>0</v>
      </c>
      <c r="C70">
        <v>0</v>
      </c>
      <c r="D70">
        <v>120</v>
      </c>
      <c r="E70" s="1">
        <f>E69+G70</f>
        <v>120.23049196753387</v>
      </c>
      <c r="F70" s="1">
        <f t="shared" si="4"/>
        <v>0.23984631279806837</v>
      </c>
      <c r="G70" s="1">
        <f t="shared" si="1"/>
        <v>0.28727207897737184</v>
      </c>
      <c r="H70" s="1">
        <f>G70-G69</f>
        <v>8.8305978946165209E-2</v>
      </c>
    </row>
    <row r="71" spans="1:8" x14ac:dyDescent="0.25">
      <c r="A71">
        <v>59</v>
      </c>
      <c r="B71">
        <f t="shared" si="3"/>
        <v>0</v>
      </c>
      <c r="C71">
        <v>0</v>
      </c>
      <c r="D71">
        <v>120</v>
      </c>
      <c r="E71" s="1">
        <f>E70+G71</f>
        <v>119.77230373364628</v>
      </c>
      <c r="F71" s="1">
        <f t="shared" si="4"/>
        <v>-0.90078783039142796</v>
      </c>
      <c r="G71" s="1">
        <f t="shared" si="1"/>
        <v>-0.45818823388757646</v>
      </c>
      <c r="H71" s="1">
        <f>G71-G70</f>
        <v>-0.74546031286494829</v>
      </c>
    </row>
    <row r="72" spans="1:8" x14ac:dyDescent="0.25">
      <c r="A72">
        <v>60</v>
      </c>
      <c r="B72">
        <f t="shared" si="3"/>
        <v>0</v>
      </c>
      <c r="C72">
        <v>0</v>
      </c>
      <c r="D72">
        <v>120</v>
      </c>
      <c r="E72" s="1">
        <f>E71+G72</f>
        <v>120.12102733885062</v>
      </c>
      <c r="F72" s="1">
        <f t="shared" si="4"/>
        <v>0.89090935076698763</v>
      </c>
      <c r="G72" s="1">
        <f t="shared" si="1"/>
        <v>0.34872360520434542</v>
      </c>
      <c r="H72" s="1">
        <f>G72-G71</f>
        <v>0.80691183909192188</v>
      </c>
    </row>
    <row r="73" spans="1:8" x14ac:dyDescent="0.25">
      <c r="A73">
        <v>61</v>
      </c>
      <c r="B73">
        <f t="shared" si="3"/>
        <v>0</v>
      </c>
      <c r="C73">
        <v>0</v>
      </c>
      <c r="D73">
        <v>120</v>
      </c>
      <c r="E73" s="1">
        <f>E72+G73</f>
        <v>119.98294807395978</v>
      </c>
      <c r="F73" s="2">
        <f t="shared" si="4"/>
        <v>-0.49616204001921971</v>
      </c>
      <c r="G73" s="1">
        <f t="shared" si="1"/>
        <v>-0.13807926489084651</v>
      </c>
      <c r="H73" s="1">
        <f>G73-G72</f>
        <v>-0.48680287009519196</v>
      </c>
    </row>
    <row r="74" spans="1:8" x14ac:dyDescent="0.25">
      <c r="A74">
        <v>62</v>
      </c>
      <c r="B74">
        <f t="shared" si="3"/>
        <v>0</v>
      </c>
      <c r="C74">
        <v>0</v>
      </c>
      <c r="D74">
        <v>120</v>
      </c>
      <c r="E74" s="1">
        <f>E73+G74</f>
        <v>119.9515024011377</v>
      </c>
      <c r="F74" s="2">
        <f t="shared" si="4"/>
        <v>7.3431265874900759E-2</v>
      </c>
      <c r="G74" s="1">
        <f t="shared" si="1"/>
        <v>-3.1445672822077372E-2</v>
      </c>
      <c r="H74" s="1">
        <f>G74-G73</f>
        <v>0.10663359206876914</v>
      </c>
    </row>
    <row r="75" spans="1:8" x14ac:dyDescent="0.25">
      <c r="A75">
        <v>63</v>
      </c>
      <c r="B75">
        <f t="shared" si="3"/>
        <v>0</v>
      </c>
      <c r="C75">
        <v>0</v>
      </c>
      <c r="D75">
        <v>120</v>
      </c>
      <c r="E75" s="1">
        <f>E74+G75</f>
        <v>120.07660707909469</v>
      </c>
      <c r="F75" s="2">
        <f t="shared" si="4"/>
        <v>0.20567440235746612</v>
      </c>
      <c r="G75" s="1">
        <f t="shared" si="1"/>
        <v>0.12510467795697983</v>
      </c>
      <c r="H75" s="1">
        <f>G75-G74</f>
        <v>0.15655035077905721</v>
      </c>
    </row>
    <row r="76" spans="1:8" x14ac:dyDescent="0.25">
      <c r="A76">
        <v>64</v>
      </c>
      <c r="B76">
        <f t="shared" si="3"/>
        <v>0</v>
      </c>
      <c r="C76">
        <v>0</v>
      </c>
      <c r="D76">
        <v>120</v>
      </c>
      <c r="E76" s="1">
        <f>E75+G76</f>
        <v>119.92726926790358</v>
      </c>
      <c r="F76" s="2">
        <f t="shared" si="4"/>
        <v>-0.32057231137899683</v>
      </c>
      <c r="G76" s="1">
        <f t="shared" si="1"/>
        <v>-0.14933781119110986</v>
      </c>
      <c r="H76" s="1">
        <f>G76-G75</f>
        <v>-0.27444248914808966</v>
      </c>
    </row>
    <row r="77" spans="1:8" x14ac:dyDescent="0.25">
      <c r="A77">
        <v>65</v>
      </c>
      <c r="B77">
        <f t="shared" si="3"/>
        <v>0</v>
      </c>
      <c r="C77">
        <v>0</v>
      </c>
      <c r="D77">
        <v>120</v>
      </c>
      <c r="E77" s="1">
        <f>E76+G77</f>
        <v>120.05110163990669</v>
      </c>
      <c r="F77" s="2">
        <f t="shared" si="4"/>
        <v>0.30490722673966991</v>
      </c>
      <c r="G77" s="1">
        <f t="shared" si="1"/>
        <v>0.12383237200310303</v>
      </c>
      <c r="H77" s="1">
        <f>G77-G76</f>
        <v>0.27317018319421288</v>
      </c>
    </row>
    <row r="78" spans="1:8" x14ac:dyDescent="0.25">
      <c r="A78">
        <v>66</v>
      </c>
      <c r="B78">
        <f t="shared" si="3"/>
        <v>0</v>
      </c>
      <c r="C78">
        <v>0</v>
      </c>
      <c r="D78">
        <v>120</v>
      </c>
      <c r="E78" s="1">
        <f>E77+G78</f>
        <v>119.97388806745288</v>
      </c>
      <c r="F78" s="2">
        <f t="shared" si="4"/>
        <v>-0.21644713665095922</v>
      </c>
      <c r="G78" s="1">
        <f t="shared" si="1"/>
        <v>-7.7213572453809637E-2</v>
      </c>
      <c r="H78" s="1">
        <f>G78-G77</f>
        <v>-0.20104594445691265</v>
      </c>
    </row>
    <row r="79" spans="1:8" x14ac:dyDescent="0.25">
      <c r="A79">
        <v>67</v>
      </c>
      <c r="B79">
        <f t="shared" si="3"/>
        <v>0</v>
      </c>
      <c r="C79">
        <v>0</v>
      </c>
      <c r="D79">
        <v>120</v>
      </c>
      <c r="E79" s="1">
        <f>E78+G79</f>
        <v>120.00592309000822</v>
      </c>
      <c r="F79" s="2">
        <f t="shared" si="4"/>
        <v>0.11194738003948254</v>
      </c>
      <c r="G79" s="1">
        <f t="shared" ref="G79:G89" si="5">G78*B$3+F79*B$2</f>
        <v>3.2035022555351997E-2</v>
      </c>
      <c r="H79" s="1">
        <f>G79-G78</f>
        <v>0.10924859500916163</v>
      </c>
    </row>
    <row r="80" spans="1:8" x14ac:dyDescent="0.25">
      <c r="A80">
        <v>68</v>
      </c>
      <c r="B80">
        <f t="shared" si="3"/>
        <v>0</v>
      </c>
      <c r="C80">
        <v>0</v>
      </c>
      <c r="D80">
        <v>120</v>
      </c>
      <c r="E80" s="1">
        <f>E79+G80</f>
        <v>120.00719066398244</v>
      </c>
      <c r="F80" s="2">
        <f t="shared" si="4"/>
        <v>-2.5647770798553057E-2</v>
      </c>
      <c r="G80" s="1">
        <f t="shared" si="5"/>
        <v>1.2675739742240566E-3</v>
      </c>
      <c r="H80" s="1">
        <f>G80-G79</f>
        <v>-3.076744858112794E-2</v>
      </c>
    </row>
    <row r="81" spans="1:8" x14ac:dyDescent="0.25">
      <c r="A81">
        <v>69</v>
      </c>
      <c r="B81">
        <f t="shared" si="3"/>
        <v>0</v>
      </c>
      <c r="C81">
        <v>0</v>
      </c>
      <c r="D81">
        <v>120</v>
      </c>
      <c r="E81" s="1">
        <f>E80+G81</f>
        <v>119.98616936797522</v>
      </c>
      <c r="F81" s="2">
        <f t="shared" si="4"/>
        <v>-3.1116914845360773E-2</v>
      </c>
      <c r="G81" s="1">
        <f t="shared" si="5"/>
        <v>-2.1021296007218106E-2</v>
      </c>
      <c r="H81" s="1">
        <f>G81-G80</f>
        <v>-2.2288869981442163E-2</v>
      </c>
    </row>
    <row r="82" spans="1:8" x14ac:dyDescent="0.25">
      <c r="A82">
        <v>70</v>
      </c>
      <c r="B82">
        <f t="shared" si="3"/>
        <v>0</v>
      </c>
      <c r="C82">
        <v>0</v>
      </c>
      <c r="D82">
        <v>120</v>
      </c>
      <c r="E82" s="1">
        <f>E81+G82</f>
        <v>120.01531445282254</v>
      </c>
      <c r="F82" s="2">
        <f t="shared" si="4"/>
        <v>5.9654089216641983E-2</v>
      </c>
      <c r="G82" s="1">
        <f t="shared" si="5"/>
        <v>2.9145084847318523E-2</v>
      </c>
      <c r="H82" s="1">
        <f>G82-G81</f>
        <v>5.0166380854536632E-2</v>
      </c>
    </row>
    <row r="83" spans="1:8" x14ac:dyDescent="0.25">
      <c r="A83">
        <v>71</v>
      </c>
      <c r="B83">
        <f t="shared" si="3"/>
        <v>0</v>
      </c>
      <c r="C83">
        <v>0</v>
      </c>
      <c r="D83">
        <v>120</v>
      </c>
      <c r="E83" s="1">
        <f>E82+G83</f>
        <v>119.98659752539537</v>
      </c>
      <c r="F83" s="2">
        <f t="shared" si="4"/>
        <v>-6.6005683336505722E-2</v>
      </c>
      <c r="G83" s="1">
        <f t="shared" si="5"/>
        <v>-2.8716927427162888E-2</v>
      </c>
      <c r="H83" s="1">
        <f>G83-G82</f>
        <v>-5.7862012274481414E-2</v>
      </c>
    </row>
    <row r="84" spans="1:8" x14ac:dyDescent="0.25">
      <c r="A84">
        <v>72</v>
      </c>
      <c r="B84">
        <f t="shared" si="3"/>
        <v>0</v>
      </c>
      <c r="C84">
        <v>0</v>
      </c>
      <c r="D84">
        <v>120</v>
      </c>
      <c r="E84" s="1">
        <f>E83+G84</f>
        <v>120.00984109208795</v>
      </c>
      <c r="F84" s="2">
        <f t="shared" si="4"/>
        <v>5.78196044984126E-2</v>
      </c>
      <c r="G84" s="1">
        <f t="shared" si="5"/>
        <v>2.3243566692591082E-2</v>
      </c>
      <c r="H84" s="1">
        <f>G84-G83</f>
        <v>5.1960494119753967E-2</v>
      </c>
    </row>
    <row r="85" spans="1:8" x14ac:dyDescent="0.25">
      <c r="A85">
        <v>73</v>
      </c>
      <c r="B85">
        <f t="shared" si="3"/>
        <v>0</v>
      </c>
      <c r="C85">
        <v>0</v>
      </c>
      <c r="D85">
        <v>120</v>
      </c>
      <c r="E85" s="1">
        <f>E84+G85</f>
        <v>119.994015959994</v>
      </c>
      <c r="F85" s="2">
        <f t="shared" si="4"/>
        <v>-4.2530388727870551E-2</v>
      </c>
      <c r="G85" s="1">
        <f t="shared" si="5"/>
        <v>-1.5825132093954732E-2</v>
      </c>
      <c r="H85" s="1">
        <f>G85-G84</f>
        <v>-3.9068698786545814E-2</v>
      </c>
    </row>
    <row r="86" spans="1:8" x14ac:dyDescent="0.25">
      <c r="A86">
        <v>74</v>
      </c>
      <c r="B86">
        <f t="shared" si="3"/>
        <v>0</v>
      </c>
      <c r="C86">
        <v>0</v>
      </c>
      <c r="D86">
        <v>120</v>
      </c>
      <c r="E86" s="1">
        <f>E85+G86</f>
        <v>120.00265851541302</v>
      </c>
      <c r="F86" s="2">
        <f t="shared" si="4"/>
        <v>2.5910906679116785E-2</v>
      </c>
      <c r="G86" s="1">
        <f t="shared" si="5"/>
        <v>8.6425554190089088E-3</v>
      </c>
      <c r="H86" s="1">
        <f>G86-G85</f>
        <v>2.4467687512963639E-2</v>
      </c>
    </row>
    <row r="87" spans="1:8" x14ac:dyDescent="0.25">
      <c r="A87">
        <v>75</v>
      </c>
      <c r="B87">
        <f t="shared" si="3"/>
        <v>0</v>
      </c>
      <c r="C87">
        <v>0</v>
      </c>
      <c r="D87">
        <v>120</v>
      </c>
      <c r="E87" s="1">
        <f>E86+G87</f>
        <v>119.99977272277157</v>
      </c>
      <c r="F87" s="2">
        <f t="shared" si="4"/>
        <v>-1.1530465561223197E-2</v>
      </c>
      <c r="G87" s="1">
        <f t="shared" si="5"/>
        <v>-2.8857926414508923E-3</v>
      </c>
      <c r="H87" s="1">
        <f>G87-G86</f>
        <v>-1.1528348060459801E-2</v>
      </c>
    </row>
    <row r="88" spans="1:8" x14ac:dyDescent="0.25">
      <c r="A88">
        <v>76</v>
      </c>
      <c r="B88">
        <f t="shared" si="3"/>
        <v>0</v>
      </c>
      <c r="C88">
        <v>0</v>
      </c>
      <c r="D88">
        <v>120</v>
      </c>
      <c r="E88" s="1">
        <f>E87+G88</f>
        <v>119.9987321054047</v>
      </c>
      <c r="F88" s="2">
        <f t="shared" si="4"/>
        <v>9.8694031142510744E-4</v>
      </c>
      <c r="G88" s="1">
        <f t="shared" si="5"/>
        <v>-1.0406173668729602E-3</v>
      </c>
      <c r="H88" s="1">
        <f>G88-G87</f>
        <v>1.8451752745779321E-3</v>
      </c>
    </row>
    <row r="89" spans="1:8" x14ac:dyDescent="0.25">
      <c r="A89">
        <v>77</v>
      </c>
      <c r="B89">
        <f t="shared" si="3"/>
        <v>0</v>
      </c>
      <c r="C89">
        <v>0</v>
      </c>
      <c r="D89">
        <v>120</v>
      </c>
      <c r="E89" s="1">
        <f>E88+G89</f>
        <v>120.00195977089714</v>
      </c>
      <c r="F89" s="2">
        <f t="shared" si="4"/>
        <v>5.5029084465237042E-3</v>
      </c>
      <c r="G89" s="1">
        <f t="shared" si="5"/>
        <v>3.2276654924428168E-3</v>
      </c>
      <c r="H89" s="1">
        <f>G89-G88</f>
        <v>4.2682828593157765E-3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2E62-5364-4CC8-B271-513B1E87E8A8}">
  <dimension ref="A1:B24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11</v>
      </c>
      <c r="B1">
        <v>0.5</v>
      </c>
    </row>
    <row r="4" spans="1:2" x14ac:dyDescent="0.25">
      <c r="A4">
        <v>-100</v>
      </c>
      <c r="B4">
        <f>LOG(ABS(A4)+1,2.718)*B$1*SIGN(A4)</f>
        <v>-2.3077995409337566</v>
      </c>
    </row>
    <row r="5" spans="1:2" x14ac:dyDescent="0.25">
      <c r="A5">
        <v>-90</v>
      </c>
      <c r="B5">
        <f t="shared" ref="B5:B24" si="0">LOG(ABS(A5)+1,2.718)*B$1*SIGN(A5)</f>
        <v>-2.2556636300976409</v>
      </c>
    </row>
    <row r="6" spans="1:2" x14ac:dyDescent="0.25">
      <c r="A6">
        <v>-80</v>
      </c>
      <c r="B6">
        <f t="shared" si="0"/>
        <v>-2.1974524185884037</v>
      </c>
    </row>
    <row r="7" spans="1:2" x14ac:dyDescent="0.25">
      <c r="A7">
        <v>-70</v>
      </c>
      <c r="B7">
        <f t="shared" si="0"/>
        <v>-2.1315609478637314</v>
      </c>
    </row>
    <row r="8" spans="1:2" x14ac:dyDescent="0.25">
      <c r="A8">
        <v>-60</v>
      </c>
      <c r="B8">
        <f t="shared" si="0"/>
        <v>-2.0556500706657626</v>
      </c>
    </row>
    <row r="9" spans="1:2" x14ac:dyDescent="0.25">
      <c r="A9">
        <v>-50</v>
      </c>
      <c r="B9">
        <f t="shared" si="0"/>
        <v>-1.9661166717360672</v>
      </c>
    </row>
    <row r="10" spans="1:2" x14ac:dyDescent="0.25">
      <c r="A10">
        <v>-40</v>
      </c>
      <c r="B10">
        <f t="shared" si="0"/>
        <v>-1.8569785728218289</v>
      </c>
    </row>
    <row r="11" spans="1:2" x14ac:dyDescent="0.25">
      <c r="A11">
        <v>-30</v>
      </c>
      <c r="B11">
        <f t="shared" si="0"/>
        <v>-1.717171645932946</v>
      </c>
    </row>
    <row r="12" spans="1:2" x14ac:dyDescent="0.25">
      <c r="A12">
        <v>-20</v>
      </c>
      <c r="B12">
        <f t="shared" si="0"/>
        <v>-1.5224190697731905</v>
      </c>
    </row>
    <row r="13" spans="1:2" x14ac:dyDescent="0.25">
      <c r="A13">
        <v>-10</v>
      </c>
      <c r="B13">
        <f t="shared" si="0"/>
        <v>-1.1990719613014269</v>
      </c>
    </row>
    <row r="14" spans="1:2" x14ac:dyDescent="0.25">
      <c r="A14">
        <v>0</v>
      </c>
      <c r="B14">
        <f t="shared" si="0"/>
        <v>0</v>
      </c>
    </row>
    <row r="15" spans="1:2" x14ac:dyDescent="0.25">
      <c r="A15">
        <v>10</v>
      </c>
      <c r="B15">
        <f t="shared" si="0"/>
        <v>1.1990719613014269</v>
      </c>
    </row>
    <row r="16" spans="1:2" x14ac:dyDescent="0.25">
      <c r="A16">
        <v>20</v>
      </c>
      <c r="B16">
        <f t="shared" si="0"/>
        <v>1.5224190697731905</v>
      </c>
    </row>
    <row r="17" spans="1:2" x14ac:dyDescent="0.25">
      <c r="A17">
        <v>30</v>
      </c>
      <c r="B17">
        <f t="shared" si="0"/>
        <v>1.717171645932946</v>
      </c>
    </row>
    <row r="18" spans="1:2" x14ac:dyDescent="0.25">
      <c r="A18">
        <v>40</v>
      </c>
      <c r="B18">
        <f t="shared" si="0"/>
        <v>1.8569785728218289</v>
      </c>
    </row>
    <row r="19" spans="1:2" x14ac:dyDescent="0.25">
      <c r="A19">
        <v>50</v>
      </c>
      <c r="B19">
        <f t="shared" si="0"/>
        <v>1.9661166717360672</v>
      </c>
    </row>
    <row r="20" spans="1:2" x14ac:dyDescent="0.25">
      <c r="A20">
        <v>60</v>
      </c>
      <c r="B20">
        <f t="shared" si="0"/>
        <v>2.0556500706657626</v>
      </c>
    </row>
    <row r="21" spans="1:2" x14ac:dyDescent="0.25">
      <c r="A21">
        <v>70</v>
      </c>
      <c r="B21">
        <f t="shared" si="0"/>
        <v>2.1315609478637314</v>
      </c>
    </row>
    <row r="22" spans="1:2" x14ac:dyDescent="0.25">
      <c r="A22">
        <v>80</v>
      </c>
      <c r="B22">
        <f t="shared" si="0"/>
        <v>2.1974524185884037</v>
      </c>
    </row>
    <row r="23" spans="1:2" x14ac:dyDescent="0.25">
      <c r="A23">
        <v>90</v>
      </c>
      <c r="B23">
        <f t="shared" si="0"/>
        <v>2.2556636300976409</v>
      </c>
    </row>
    <row r="24" spans="1:2" x14ac:dyDescent="0.25">
      <c r="A24">
        <v>100</v>
      </c>
      <c r="B24">
        <f t="shared" si="0"/>
        <v>2.3077995409337566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DBC3A86B10A4085B52F181C274AA0" ma:contentTypeVersion="14" ma:contentTypeDescription="Create a new document." ma:contentTypeScope="" ma:versionID="8197e89490dc663f80df425c475dfb63">
  <xsd:schema xmlns:xsd="http://www.w3.org/2001/XMLSchema" xmlns:xs="http://www.w3.org/2001/XMLSchema" xmlns:p="http://schemas.microsoft.com/office/2006/metadata/properties" xmlns:ns2="3073c576-dbcc-4dca-a8e5-ccf7a0688d93" xmlns:ns3="a95d4ba5-ac50-4ccb-8f38-68d250b34105" targetNamespace="http://schemas.microsoft.com/office/2006/metadata/properties" ma:root="true" ma:fieldsID="57d494f76f6743b951aebebbdbb44cb6" ns2:_="" ns3:_="">
    <xsd:import namespace="3073c576-dbcc-4dca-a8e5-ccf7a0688d93"/>
    <xsd:import namespace="a95d4ba5-ac50-4ccb-8f38-68d250b34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3c576-dbcc-4dca-a8e5-ccf7a0688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778b73-eb36-4b15-bd63-2781cd04a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d4ba5-ac50-4ccb-8f38-68d250b3410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d9deb43-fa9b-48cb-ae85-674f49a44845}" ma:internalName="TaxCatchAll" ma:showField="CatchAllData" ma:web="a95d4ba5-ac50-4ccb-8f38-68d250b34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676109-8D34-4291-AA2A-277B65DA56E1}"/>
</file>

<file path=customXml/itemProps2.xml><?xml version="1.0" encoding="utf-8"?>
<ds:datastoreItem xmlns:ds="http://schemas.openxmlformats.org/officeDocument/2006/customXml" ds:itemID="{D854DD2A-43A9-43CC-9C23-ECC8A9EBE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</dc:creator>
  <cp:lastModifiedBy>Kiss Marton</cp:lastModifiedBy>
  <dcterms:created xsi:type="dcterms:W3CDTF">2023-07-18T08:20:06Z</dcterms:created>
  <dcterms:modified xsi:type="dcterms:W3CDTF">2023-08-09T10:43:53Z</dcterms:modified>
</cp:coreProperties>
</file>